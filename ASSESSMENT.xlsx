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nas\Desktop\"/>
    </mc:Choice>
  </mc:AlternateContent>
  <xr:revisionPtr revIDLastSave="0" documentId="13_ncr:1_{1487D7BD-AF90-4E6F-9836-C8BA51C2825E}" xr6:coauthVersionLast="47" xr6:coauthVersionMax="47" xr10:uidLastSave="{00000000-0000-0000-0000-000000000000}"/>
  <bookViews>
    <workbookView xWindow="-120" yWindow="-120" windowWidth="20730" windowHeight="11040" xr2:uid="{6107921D-18A9-46F9-A4FC-E7BA4343031E}"/>
  </bookViews>
  <sheets>
    <sheet name="GRADE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3" i="1" l="1" a="1"/>
  <c r="BD3" i="1" s="1"/>
  <c r="BE3" i="1" s="1" a="1"/>
  <c r="BF10" i="1" s="1"/>
  <c r="R3" i="1" a="1"/>
  <c r="R3" i="1" s="1"/>
  <c r="AF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" i="1"/>
  <c r="AT5" i="1"/>
  <c r="AA25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R3" i="1" a="1"/>
  <c r="AR3" i="1" s="1"/>
  <c r="AS3" i="1" s="1"/>
  <c r="AT3" i="1" s="1"/>
  <c r="BF16" i="1" l="1"/>
  <c r="BF15" i="1"/>
  <c r="BF33" i="1"/>
  <c r="BF25" i="1"/>
  <c r="BF17" i="1"/>
  <c r="BF9" i="1"/>
  <c r="BF24" i="1"/>
  <c r="BF30" i="1"/>
  <c r="BF22" i="1"/>
  <c r="BF14" i="1"/>
  <c r="BF6" i="1"/>
  <c r="BF31" i="1"/>
  <c r="BF29" i="1"/>
  <c r="BF21" i="1"/>
  <c r="BF13" i="1"/>
  <c r="BF5" i="1"/>
  <c r="BF28" i="1"/>
  <c r="BF20" i="1"/>
  <c r="BF12" i="1"/>
  <c r="BF4" i="1"/>
  <c r="BF8" i="1"/>
  <c r="BF7" i="1"/>
  <c r="BF27" i="1"/>
  <c r="BF19" i="1"/>
  <c r="BF11" i="1"/>
  <c r="BF32" i="1"/>
  <c r="BF23" i="1"/>
  <c r="BF34" i="1"/>
  <c r="BF26" i="1"/>
  <c r="BF18" i="1"/>
  <c r="BE3" i="1"/>
  <c r="BG18" i="1" s="1"/>
  <c r="AS22" i="1"/>
  <c r="AT22" i="1" s="1"/>
  <c r="AS13" i="1"/>
  <c r="AT13" i="1" s="1"/>
  <c r="AS29" i="1"/>
  <c r="AT29" i="1" s="1"/>
  <c r="AS9" i="1"/>
  <c r="AT9" i="1" s="1"/>
  <c r="AS12" i="1"/>
  <c r="AT12" i="1" s="1"/>
  <c r="AS28" i="1"/>
  <c r="AT28" i="1" s="1"/>
  <c r="AS8" i="1"/>
  <c r="AT8" i="1" s="1"/>
  <c r="AS11" i="1"/>
  <c r="AT11" i="1" s="1"/>
  <c r="AS27" i="1"/>
  <c r="AT27" i="1" s="1"/>
  <c r="AS7" i="1"/>
  <c r="AT7" i="1" s="1"/>
  <c r="AS6" i="1"/>
  <c r="AT6" i="1" s="1"/>
  <c r="AS4" i="1"/>
  <c r="AT4" i="1" s="1"/>
  <c r="AS20" i="1"/>
  <c r="AT20" i="1" s="1"/>
  <c r="AS19" i="1"/>
  <c r="AT19" i="1" s="1"/>
  <c r="AS34" i="1"/>
  <c r="AT34" i="1" s="1"/>
  <c r="AS16" i="1"/>
  <c r="AT16" i="1" s="1"/>
  <c r="AS15" i="1"/>
  <c r="AT15" i="1" s="1"/>
  <c r="AS24" i="1"/>
  <c r="AT24" i="1" s="1"/>
  <c r="AS32" i="1"/>
  <c r="AT32" i="1" s="1"/>
  <c r="AS17" i="1"/>
  <c r="AT17" i="1" s="1"/>
  <c r="AS26" i="1"/>
  <c r="AT26" i="1" s="1"/>
  <c r="AS23" i="1"/>
  <c r="AT23" i="1" s="1"/>
  <c r="AS25" i="1"/>
  <c r="AT25" i="1" s="1"/>
  <c r="AS5" i="1"/>
  <c r="AS21" i="1"/>
  <c r="AT21" i="1" s="1"/>
  <c r="AS10" i="1"/>
  <c r="AT10" i="1" s="1"/>
  <c r="AS18" i="1"/>
  <c r="AT18" i="1" s="1"/>
  <c r="AS33" i="1"/>
  <c r="AT33" i="1" s="1"/>
  <c r="AS14" i="1"/>
  <c r="AT14" i="1" s="1"/>
  <c r="AS30" i="1"/>
  <c r="AT30" i="1" s="1"/>
  <c r="AS31" i="1"/>
  <c r="AT31" i="1" s="1"/>
  <c r="L17" i="1"/>
  <c r="L16" i="1"/>
  <c r="L27" i="1"/>
  <c r="L13" i="1"/>
  <c r="L12" i="1"/>
  <c r="L23" i="1"/>
  <c r="L11" i="1"/>
  <c r="L34" i="1"/>
  <c r="L22" i="1"/>
  <c r="L10" i="1"/>
  <c r="L29" i="1"/>
  <c r="L5" i="1"/>
  <c r="L4" i="1"/>
  <c r="L15" i="1"/>
  <c r="L14" i="1"/>
  <c r="L25" i="1"/>
  <c r="L24" i="1"/>
  <c r="L21" i="1"/>
  <c r="L20" i="1"/>
  <c r="L31" i="1"/>
  <c r="L19" i="1"/>
  <c r="L7" i="1"/>
  <c r="L28" i="1"/>
  <c r="L26" i="1"/>
  <c r="L33" i="1"/>
  <c r="L9" i="1"/>
  <c r="L32" i="1"/>
  <c r="L8" i="1"/>
  <c r="L30" i="1"/>
  <c r="L18" i="1"/>
  <c r="L6" i="1"/>
  <c r="Z3" i="1"/>
  <c r="AA3" i="1" s="1"/>
  <c r="AG29" i="1"/>
  <c r="AH29" i="1" s="1"/>
  <c r="S12" i="1"/>
  <c r="AL3" i="1" a="1"/>
  <c r="AL3" i="1" s="1"/>
  <c r="AM3" i="1" s="1" a="1"/>
  <c r="AM3" i="1" s="1"/>
  <c r="AO3" i="1" s="1"/>
  <c r="AX3" i="1" a="1"/>
  <c r="AX3" i="1" s="1"/>
  <c r="AY3" i="1" s="1" a="1"/>
  <c r="BG21" i="1" l="1"/>
  <c r="BG23" i="1"/>
  <c r="BG10" i="1"/>
  <c r="BG4" i="1"/>
  <c r="BG29" i="1"/>
  <c r="BG31" i="1"/>
  <c r="BF3" i="1"/>
  <c r="BG3" i="1"/>
  <c r="BG12" i="1"/>
  <c r="BG6" i="1"/>
  <c r="BG16" i="1"/>
  <c r="BG26" i="1"/>
  <c r="BG20" i="1"/>
  <c r="BG14" i="1"/>
  <c r="BG8" i="1"/>
  <c r="BG34" i="1"/>
  <c r="BG28" i="1"/>
  <c r="BG22" i="1"/>
  <c r="BG9" i="1"/>
  <c r="BG11" i="1"/>
  <c r="BG32" i="1"/>
  <c r="BG30" i="1"/>
  <c r="BG17" i="1"/>
  <c r="BG19" i="1"/>
  <c r="BG5" i="1"/>
  <c r="BG7" i="1"/>
  <c r="BG25" i="1"/>
  <c r="BG27" i="1"/>
  <c r="BG13" i="1"/>
  <c r="BG15" i="1"/>
  <c r="BG33" i="1"/>
  <c r="BG24" i="1"/>
  <c r="M12" i="1"/>
  <c r="BH12" i="1"/>
  <c r="M25" i="1"/>
  <c r="BH25" i="1"/>
  <c r="M32" i="1"/>
  <c r="BH32" i="1"/>
  <c r="M20" i="1"/>
  <c r="BH20" i="1"/>
  <c r="M10" i="1"/>
  <c r="BH10" i="1"/>
  <c r="M34" i="1"/>
  <c r="BH34" i="1"/>
  <c r="M31" i="1"/>
  <c r="BH31" i="1"/>
  <c r="M14" i="1"/>
  <c r="BH14" i="1"/>
  <c r="M28" i="1"/>
  <c r="BH28" i="1"/>
  <c r="M15" i="1"/>
  <c r="BH15" i="1"/>
  <c r="M7" i="1"/>
  <c r="BH7" i="1"/>
  <c r="M11" i="1"/>
  <c r="BH11" i="1"/>
  <c r="M24" i="1"/>
  <c r="BH24" i="1"/>
  <c r="M29" i="1"/>
  <c r="BH29" i="1"/>
  <c r="M6" i="1"/>
  <c r="BH6" i="1"/>
  <c r="M30" i="1"/>
  <c r="BH30" i="1"/>
  <c r="M18" i="1"/>
  <c r="BH18" i="1"/>
  <c r="M9" i="1"/>
  <c r="BH9" i="1"/>
  <c r="M22" i="1"/>
  <c r="BH22" i="1"/>
  <c r="M26" i="1"/>
  <c r="BH26" i="1"/>
  <c r="M23" i="1"/>
  <c r="BH23" i="1"/>
  <c r="M33" i="1"/>
  <c r="BH33" i="1"/>
  <c r="M13" i="1"/>
  <c r="BH13" i="1"/>
  <c r="M19" i="1"/>
  <c r="BH19" i="1"/>
  <c r="M27" i="1"/>
  <c r="BH27" i="1"/>
  <c r="M21" i="1"/>
  <c r="BH21" i="1"/>
  <c r="M5" i="1"/>
  <c r="BH5" i="1"/>
  <c r="M8" i="1"/>
  <c r="BH8" i="1"/>
  <c r="M4" i="1"/>
  <c r="BH4" i="1"/>
  <c r="M17" i="1"/>
  <c r="BH17" i="1"/>
  <c r="M16" i="1"/>
  <c r="BH16" i="1"/>
  <c r="T12" i="1"/>
  <c r="AY3" i="1"/>
  <c r="BA33" i="1" s="1"/>
  <c r="AZ7" i="1"/>
  <c r="AZ15" i="1"/>
  <c r="AZ23" i="1"/>
  <c r="AZ31" i="1"/>
  <c r="AZ8" i="1"/>
  <c r="AZ16" i="1"/>
  <c r="AZ24" i="1"/>
  <c r="AZ32" i="1"/>
  <c r="AZ9" i="1"/>
  <c r="AZ17" i="1"/>
  <c r="AZ25" i="1"/>
  <c r="AZ33" i="1"/>
  <c r="AZ22" i="1"/>
  <c r="AZ10" i="1"/>
  <c r="AZ18" i="1"/>
  <c r="AZ26" i="1"/>
  <c r="AZ34" i="1"/>
  <c r="AZ11" i="1"/>
  <c r="AZ19" i="1"/>
  <c r="AZ27" i="1"/>
  <c r="AZ30" i="1"/>
  <c r="AZ4" i="1"/>
  <c r="AZ12" i="1"/>
  <c r="AZ20" i="1"/>
  <c r="AZ28" i="1"/>
  <c r="AZ14" i="1"/>
  <c r="AZ5" i="1"/>
  <c r="AZ13" i="1"/>
  <c r="AZ21" i="1"/>
  <c r="AZ29" i="1"/>
  <c r="AZ6" i="1"/>
  <c r="AU3" i="1"/>
  <c r="AG16" i="1"/>
  <c r="AH16" i="1" s="1"/>
  <c r="AG3" i="1"/>
  <c r="AH3" i="1" s="1"/>
  <c r="AG10" i="1"/>
  <c r="AH10" i="1" s="1"/>
  <c r="AG34" i="1"/>
  <c r="AH34" i="1" s="1"/>
  <c r="AG11" i="1"/>
  <c r="AH11" i="1" s="1"/>
  <c r="AG33" i="1"/>
  <c r="AH33" i="1" s="1"/>
  <c r="AG25" i="1"/>
  <c r="AH25" i="1" s="1"/>
  <c r="AG8" i="1"/>
  <c r="AH8" i="1" s="1"/>
  <c r="AG12" i="1"/>
  <c r="AH12" i="1" s="1"/>
  <c r="AG13" i="1"/>
  <c r="AH13" i="1" s="1"/>
  <c r="AG24" i="1"/>
  <c r="AH24" i="1" s="1"/>
  <c r="AG9" i="1"/>
  <c r="AH9" i="1" s="1"/>
  <c r="AG20" i="1"/>
  <c r="AH20" i="1" s="1"/>
  <c r="AG21" i="1"/>
  <c r="AH21" i="1" s="1"/>
  <c r="AG22" i="1"/>
  <c r="AH22" i="1" s="1"/>
  <c r="AG23" i="1"/>
  <c r="AH23" i="1" s="1"/>
  <c r="AG32" i="1"/>
  <c r="AH32" i="1" s="1"/>
  <c r="AG7" i="1"/>
  <c r="AH7" i="1" s="1"/>
  <c r="AG31" i="1"/>
  <c r="AH31" i="1" s="1"/>
  <c r="AG14" i="1"/>
  <c r="AH14" i="1" s="1"/>
  <c r="AG30" i="1"/>
  <c r="AH30" i="1" s="1"/>
  <c r="AG26" i="1"/>
  <c r="AH26" i="1" s="1"/>
  <c r="AG4" i="1"/>
  <c r="AH4" i="1" s="1"/>
  <c r="AG17" i="1"/>
  <c r="AH17" i="1" s="1"/>
  <c r="AG15" i="1"/>
  <c r="AH15" i="1" s="1"/>
  <c r="AG6" i="1"/>
  <c r="AH6" i="1" s="1"/>
  <c r="AG28" i="1"/>
  <c r="AH28" i="1" s="1"/>
  <c r="AG19" i="1"/>
  <c r="AH19" i="1" s="1"/>
  <c r="AG5" i="1"/>
  <c r="AH5" i="1" s="1"/>
  <c r="AG27" i="1"/>
  <c r="AH27" i="1" s="1"/>
  <c r="AG18" i="1"/>
  <c r="AH18" i="1" s="1"/>
  <c r="Z20" i="1"/>
  <c r="AA20" i="1" s="1"/>
  <c r="Z4" i="1"/>
  <c r="AA4" i="1" s="1"/>
  <c r="Z25" i="1"/>
  <c r="Z32" i="1"/>
  <c r="AA32" i="1" s="1"/>
  <c r="Z10" i="1"/>
  <c r="AA10" i="1" s="1"/>
  <c r="Z5" i="1"/>
  <c r="AA5" i="1" s="1"/>
  <c r="Z22" i="1"/>
  <c r="AA22" i="1" s="1"/>
  <c r="Z17" i="1"/>
  <c r="AA17" i="1" s="1"/>
  <c r="Z34" i="1"/>
  <c r="AA34" i="1" s="1"/>
  <c r="Z29" i="1"/>
  <c r="AA29" i="1" s="1"/>
  <c r="Z7" i="1"/>
  <c r="AA7" i="1" s="1"/>
  <c r="Z24" i="1"/>
  <c r="AA24" i="1" s="1"/>
  <c r="Z19" i="1"/>
  <c r="AA19" i="1" s="1"/>
  <c r="Z14" i="1"/>
  <c r="AA14" i="1" s="1"/>
  <c r="Z31" i="1"/>
  <c r="AA31" i="1" s="1"/>
  <c r="Z9" i="1"/>
  <c r="AA9" i="1" s="1"/>
  <c r="Z28" i="1"/>
  <c r="AA28" i="1" s="1"/>
  <c r="Z15" i="1"/>
  <c r="AA15" i="1" s="1"/>
  <c r="Z33" i="1"/>
  <c r="AA33" i="1" s="1"/>
  <c r="Z18" i="1"/>
  <c r="AA18" i="1" s="1"/>
  <c r="Z26" i="1"/>
  <c r="AA26" i="1" s="1"/>
  <c r="Z12" i="1"/>
  <c r="AA12" i="1" s="1"/>
  <c r="Z21" i="1"/>
  <c r="AA21" i="1" s="1"/>
  <c r="Z11" i="1"/>
  <c r="AA11" i="1" s="1"/>
  <c r="Z23" i="1"/>
  <c r="AA23" i="1" s="1"/>
  <c r="Z27" i="1"/>
  <c r="AA27" i="1" s="1"/>
  <c r="Z6" i="1"/>
  <c r="AA6" i="1" s="1"/>
  <c r="Z16" i="1"/>
  <c r="AA16" i="1" s="1"/>
  <c r="Z30" i="1"/>
  <c r="AA30" i="1" s="1"/>
  <c r="Z8" i="1"/>
  <c r="AA8" i="1" s="1"/>
  <c r="Z13" i="1"/>
  <c r="AA13" i="1" s="1"/>
  <c r="S3" i="1"/>
  <c r="T3" i="1" s="1"/>
  <c r="S4" i="1"/>
  <c r="S16" i="1"/>
  <c r="S28" i="1"/>
  <c r="S21" i="1"/>
  <c r="S22" i="1"/>
  <c r="S11" i="1"/>
  <c r="T11" i="1" s="1"/>
  <c r="S25" i="1"/>
  <c r="S14" i="1"/>
  <c r="S5" i="1"/>
  <c r="S17" i="1"/>
  <c r="S29" i="1"/>
  <c r="S33" i="1"/>
  <c r="S34" i="1"/>
  <c r="S15" i="1"/>
  <c r="S6" i="1"/>
  <c r="S18" i="1"/>
  <c r="S30" i="1"/>
  <c r="S32" i="1"/>
  <c r="S10" i="1"/>
  <c r="S23" i="1"/>
  <c r="S7" i="1"/>
  <c r="S19" i="1"/>
  <c r="S31" i="1"/>
  <c r="S20" i="1"/>
  <c r="S9" i="1"/>
  <c r="S24" i="1"/>
  <c r="S26" i="1"/>
  <c r="S27" i="1"/>
  <c r="S8" i="1"/>
  <c r="S13" i="1"/>
  <c r="AO8" i="1"/>
  <c r="AO20" i="1"/>
  <c r="AO32" i="1"/>
  <c r="AO23" i="1"/>
  <c r="AO25" i="1"/>
  <c r="AO9" i="1"/>
  <c r="AO21" i="1"/>
  <c r="AO33" i="1"/>
  <c r="AO11" i="1"/>
  <c r="AO12" i="1"/>
  <c r="AO26" i="1"/>
  <c r="AO27" i="1"/>
  <c r="AO10" i="1"/>
  <c r="AO22" i="1"/>
  <c r="AO34" i="1"/>
  <c r="AO13" i="1"/>
  <c r="AO24" i="1"/>
  <c r="AO14" i="1"/>
  <c r="AO15" i="1"/>
  <c r="AO4" i="1"/>
  <c r="AO16" i="1"/>
  <c r="AO28" i="1"/>
  <c r="AO5" i="1"/>
  <c r="AO17" i="1"/>
  <c r="AO29" i="1"/>
  <c r="AO6" i="1"/>
  <c r="AO18" i="1"/>
  <c r="AO30" i="1"/>
  <c r="AO7" i="1"/>
  <c r="AO19" i="1"/>
  <c r="AO31" i="1"/>
  <c r="AU15" i="1"/>
  <c r="AU27" i="1"/>
  <c r="AU30" i="1"/>
  <c r="AU31" i="1"/>
  <c r="AU32" i="1"/>
  <c r="AU33" i="1"/>
  <c r="AU4" i="1"/>
  <c r="AU16" i="1"/>
  <c r="AU28" i="1"/>
  <c r="AU6" i="1"/>
  <c r="AU7" i="1"/>
  <c r="AU8" i="1"/>
  <c r="AU9" i="1"/>
  <c r="AU26" i="1"/>
  <c r="AU5" i="1"/>
  <c r="AU17" i="1"/>
  <c r="AU29" i="1"/>
  <c r="AU18" i="1"/>
  <c r="AU19" i="1"/>
  <c r="AU20" i="1"/>
  <c r="AU21" i="1"/>
  <c r="AU10" i="1"/>
  <c r="AU22" i="1"/>
  <c r="AU34" i="1"/>
  <c r="AU11" i="1"/>
  <c r="AU23" i="1"/>
  <c r="AU12" i="1"/>
  <c r="AU24" i="1"/>
  <c r="AU13" i="1"/>
  <c r="AU25" i="1"/>
  <c r="AU14" i="1"/>
  <c r="BA3" i="1" l="1"/>
  <c r="BA31" i="1"/>
  <c r="BA7" i="1"/>
  <c r="BA23" i="1"/>
  <c r="BA6" i="1"/>
  <c r="BA17" i="1"/>
  <c r="BA24" i="1"/>
  <c r="BA25" i="1"/>
  <c r="BA20" i="1"/>
  <c r="BA5" i="1"/>
  <c r="BA14" i="1"/>
  <c r="BA18" i="1"/>
  <c r="BA22" i="1"/>
  <c r="BA28" i="1"/>
  <c r="BA11" i="1"/>
  <c r="BA8" i="1"/>
  <c r="BA12" i="1"/>
  <c r="BA16" i="1"/>
  <c r="BA15" i="1"/>
  <c r="BA21" i="1"/>
  <c r="BA9" i="1"/>
  <c r="BA13" i="1"/>
  <c r="BA27" i="1"/>
  <c r="BA30" i="1"/>
  <c r="BA19" i="1"/>
  <c r="BA32" i="1"/>
  <c r="BA29" i="1"/>
  <c r="BA26" i="1"/>
  <c r="BA4" i="1"/>
  <c r="BA34" i="1"/>
  <c r="BA10" i="1"/>
  <c r="T18" i="1"/>
  <c r="T31" i="1"/>
  <c r="T25" i="1"/>
  <c r="T13" i="1"/>
  <c r="T19" i="1"/>
  <c r="T15" i="1"/>
  <c r="T14" i="1"/>
  <c r="T20" i="1"/>
  <c r="T6" i="1"/>
  <c r="T8" i="1"/>
  <c r="T7" i="1"/>
  <c r="T22" i="1"/>
  <c r="T27" i="1"/>
  <c r="T23" i="1"/>
  <c r="T21" i="1"/>
  <c r="T26" i="1"/>
  <c r="T10" i="1"/>
  <c r="T29" i="1"/>
  <c r="T28" i="1"/>
  <c r="T34" i="1"/>
  <c r="T33" i="1"/>
  <c r="T24" i="1"/>
  <c r="T32" i="1"/>
  <c r="T17" i="1"/>
  <c r="T16" i="1"/>
  <c r="T9" i="1"/>
  <c r="T30" i="1"/>
  <c r="T5" i="1"/>
  <c r="T4" i="1"/>
  <c r="AZ3" i="1"/>
  <c r="AB3" i="1"/>
  <c r="AB12" i="1"/>
  <c r="AB30" i="1"/>
  <c r="AB26" i="1"/>
  <c r="AB25" i="1"/>
  <c r="AB28" i="1"/>
  <c r="AB20" i="1"/>
  <c r="AB8" i="1"/>
  <c r="AB16" i="1"/>
  <c r="AB18" i="1"/>
  <c r="AB6" i="1"/>
  <c r="AB15" i="1"/>
  <c r="AB27" i="1"/>
  <c r="AB23" i="1"/>
  <c r="AB9" i="1"/>
  <c r="AB34" i="1"/>
  <c r="AB11" i="1"/>
  <c r="AB31" i="1"/>
  <c r="AB19" i="1"/>
  <c r="AB24" i="1"/>
  <c r="AB32" i="1"/>
  <c r="AB7" i="1"/>
  <c r="AB29" i="1"/>
  <c r="AB21" i="1"/>
  <c r="AB17" i="1"/>
  <c r="AB5" i="1"/>
  <c r="AB10" i="1"/>
  <c r="AB33" i="1"/>
  <c r="AB4" i="1"/>
  <c r="AB13" i="1"/>
  <c r="AB14" i="1"/>
  <c r="AB22" i="1"/>
  <c r="U3" i="1"/>
  <c r="AI3" i="1" l="1"/>
  <c r="U10" i="1"/>
  <c r="U22" i="1"/>
  <c r="U23" i="1"/>
  <c r="U5" i="1"/>
  <c r="U26" i="1"/>
  <c r="U11" i="1"/>
  <c r="U31" i="1"/>
  <c r="U14" i="1"/>
  <c r="U34" i="1"/>
  <c r="U21" i="1"/>
  <c r="U9" i="1"/>
  <c r="U16" i="1"/>
  <c r="U32" i="1"/>
  <c r="U4" i="1"/>
  <c r="U25" i="1"/>
  <c r="U33" i="1"/>
  <c r="U20" i="1"/>
  <c r="U8" i="1"/>
  <c r="U13" i="1"/>
  <c r="U28" i="1"/>
  <c r="U7" i="1"/>
  <c r="U27" i="1"/>
  <c r="U19" i="1"/>
  <c r="U15" i="1"/>
  <c r="U30" i="1"/>
  <c r="U24" i="1"/>
  <c r="U18" i="1"/>
  <c r="U29" i="1"/>
  <c r="U12" i="1"/>
  <c r="U6" i="1"/>
  <c r="U17" i="1"/>
  <c r="AI28" i="1"/>
  <c r="AI19" i="1"/>
  <c r="AI34" i="1"/>
  <c r="AI9" i="1"/>
  <c r="AI18" i="1"/>
  <c r="AI17" i="1"/>
  <c r="AI4" i="1"/>
  <c r="AI20" i="1"/>
  <c r="AI24" i="1"/>
  <c r="AI30" i="1"/>
  <c r="AI26" i="1"/>
  <c r="AI29" i="1"/>
  <c r="AI32" i="1"/>
  <c r="AI22" i="1"/>
  <c r="AI27" i="1"/>
  <c r="AI25" i="1"/>
  <c r="AI16" i="1"/>
  <c r="AI14" i="1"/>
  <c r="AI23" i="1"/>
  <c r="AI31" i="1"/>
  <c r="AI5" i="1"/>
  <c r="AI7" i="1"/>
  <c r="AI10" i="1"/>
  <c r="AI11" i="1"/>
  <c r="AI8" i="1"/>
  <c r="AI13" i="1"/>
  <c r="AI12" i="1"/>
  <c r="AI33" i="1"/>
  <c r="AI6" i="1"/>
  <c r="AI15" i="1"/>
  <c r="AI21" i="1"/>
  <c r="E3" i="1"/>
  <c r="F3" i="1" s="1"/>
  <c r="E21" i="1" l="1"/>
  <c r="F21" i="1" s="1"/>
  <c r="E5" i="1"/>
  <c r="E31" i="1"/>
  <c r="F31" i="1"/>
  <c r="F23" i="1"/>
  <c r="E23" i="1"/>
  <c r="E20" i="1"/>
  <c r="F20" i="1" s="1"/>
  <c r="E26" i="1"/>
  <c r="F26" i="1" s="1"/>
  <c r="E32" i="1"/>
  <c r="F27" i="1"/>
  <c r="E27" i="1"/>
  <c r="E12" i="1"/>
  <c r="E13" i="1"/>
  <c r="E28" i="1"/>
  <c r="E16" i="1"/>
  <c r="F16" i="1"/>
  <c r="E15" i="1"/>
  <c r="E33" i="1"/>
  <c r="E19" i="1"/>
  <c r="E29" i="1"/>
  <c r="E8" i="1"/>
  <c r="F8" i="1" s="1"/>
  <c r="F25" i="1"/>
  <c r="E25" i="1"/>
  <c r="E14" i="1"/>
  <c r="F14" i="1"/>
  <c r="F9" i="1"/>
  <c r="E9" i="1"/>
  <c r="E24" i="1"/>
  <c r="E10" i="1"/>
  <c r="F10" i="1"/>
  <c r="E34" i="1"/>
  <c r="F34" i="1" s="1"/>
  <c r="E18" i="1"/>
  <c r="E30" i="1"/>
  <c r="F30" i="1" s="1"/>
  <c r="E4" i="1"/>
  <c r="E11" i="1"/>
  <c r="E7" i="1"/>
  <c r="E22" i="1"/>
  <c r="F22" i="1" s="1"/>
  <c r="E17" i="1"/>
  <c r="E6" i="1"/>
  <c r="F6" i="1" s="1"/>
  <c r="G15" i="1" l="1"/>
  <c r="F12" i="1"/>
  <c r="G18" i="1"/>
  <c r="G3" i="1"/>
  <c r="F32" i="1"/>
  <c r="F29" i="1"/>
  <c r="G28" i="1"/>
  <c r="G5" i="1"/>
  <c r="F13" i="1"/>
  <c r="G19" i="1"/>
  <c r="G32" i="1"/>
  <c r="G14" i="1"/>
  <c r="G24" i="1"/>
  <c r="G13" i="1"/>
  <c r="G26" i="1"/>
  <c r="F5" i="1"/>
  <c r="G21" i="1"/>
  <c r="G4" i="1"/>
  <c r="F24" i="1"/>
  <c r="G7" i="1"/>
  <c r="G31" i="1"/>
  <c r="G25" i="1"/>
  <c r="F33" i="1"/>
  <c r="G16" i="1"/>
  <c r="F17" i="1"/>
  <c r="F7" i="1"/>
  <c r="G30" i="1"/>
  <c r="G6" i="1"/>
  <c r="G33" i="1"/>
  <c r="G34" i="1"/>
  <c r="G17" i="1"/>
  <c r="F4" i="1"/>
  <c r="G9" i="1"/>
  <c r="G29" i="1"/>
  <c r="G27" i="1"/>
  <c r="F15" i="1"/>
  <c r="F18" i="1"/>
  <c r="F28" i="1"/>
  <c r="G8" i="1"/>
  <c r="G12" i="1"/>
  <c r="G11" i="1"/>
  <c r="G22" i="1"/>
  <c r="G23" i="1"/>
  <c r="G10" i="1"/>
  <c r="F19" i="1"/>
  <c r="F11" i="1"/>
  <c r="G20" i="1"/>
  <c r="L3" i="1" l="1"/>
  <c r="N26" i="1" l="1"/>
  <c r="BH3" i="1"/>
  <c r="N4" i="1"/>
  <c r="N33" i="1"/>
  <c r="M3" i="1"/>
  <c r="N34" i="1"/>
  <c r="N10" i="1"/>
  <c r="N7" i="1"/>
  <c r="N12" i="1"/>
  <c r="N25" i="1"/>
  <c r="N18" i="1"/>
  <c r="N8" i="1"/>
  <c r="N6" i="1"/>
  <c r="N27" i="1"/>
  <c r="N9" i="1"/>
  <c r="N17" i="1"/>
  <c r="N13" i="1"/>
  <c r="N20" i="1"/>
  <c r="N14" i="1"/>
  <c r="N15" i="1"/>
  <c r="N22" i="1"/>
  <c r="N5" i="1"/>
  <c r="N11" i="1"/>
  <c r="N3" i="1"/>
  <c r="N32" i="1"/>
  <c r="N29" i="1"/>
  <c r="N16" i="1"/>
  <c r="N24" i="1"/>
  <c r="N31" i="1"/>
  <c r="N19" i="1"/>
  <c r="N28" i="1"/>
  <c r="N23" i="1"/>
  <c r="N30" i="1"/>
  <c r="N21" i="1"/>
  <c r="BI4" i="1" l="1"/>
  <c r="BI22" i="1"/>
  <c r="BI10" i="1"/>
  <c r="BI23" i="1"/>
  <c r="BI5" i="1"/>
  <c r="BI17" i="1"/>
  <c r="BI20" i="1"/>
  <c r="BI29" i="1"/>
  <c r="BI31" i="1"/>
  <c r="BI7" i="1"/>
  <c r="BI6" i="1"/>
  <c r="BI32" i="1"/>
  <c r="BI12" i="1"/>
  <c r="BI19" i="1"/>
  <c r="BI11" i="1"/>
  <c r="BI3" i="1"/>
  <c r="BI33" i="1"/>
  <c r="BI28" i="1"/>
  <c r="BI30" i="1"/>
  <c r="BI24" i="1"/>
  <c r="BI16" i="1"/>
  <c r="BI8" i="1"/>
  <c r="BI34" i="1"/>
  <c r="BI18" i="1"/>
  <c r="BI13" i="1"/>
  <c r="BI14" i="1"/>
  <c r="BI9" i="1"/>
  <c r="BI15" i="1"/>
  <c r="BI25" i="1"/>
  <c r="BI26" i="1"/>
  <c r="BI27" i="1"/>
  <c r="BI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<sst xmlns="http://schemas.openxmlformats.org/spreadsheetml/2006/main" count="104" uniqueCount="54">
  <si>
    <t>SCIENCE</t>
  </si>
  <si>
    <t>MATHEMATICS</t>
  </si>
  <si>
    <t>DANGME</t>
  </si>
  <si>
    <t>CREATIVE ARTS</t>
  </si>
  <si>
    <t>HISTORY</t>
  </si>
  <si>
    <t>ES(70%)</t>
  </si>
  <si>
    <t>ES</t>
  </si>
  <si>
    <t>CS(30%)</t>
  </si>
  <si>
    <t>REMARK</t>
  </si>
  <si>
    <t>BIBLE KNOWLEDGE</t>
  </si>
  <si>
    <t>N  A  M  E  S</t>
  </si>
  <si>
    <t>MT</t>
  </si>
  <si>
    <t>ENGLISH LANGUAGE</t>
  </si>
  <si>
    <t>TS</t>
  </si>
  <si>
    <t>POS</t>
  </si>
  <si>
    <t>OTS</t>
  </si>
  <si>
    <t>POSI.C</t>
  </si>
  <si>
    <t>AMEVOR JEREMIAH</t>
  </si>
  <si>
    <t>ASHIANGMOR MATTHEW</t>
  </si>
  <si>
    <t xml:space="preserve">HLORKA PRECIOUS </t>
  </si>
  <si>
    <t>OKUMO ISHMAEL</t>
  </si>
  <si>
    <t>AMUZU DELSY SEFAKOR</t>
  </si>
  <si>
    <t>ASILEVI EMMANUELLA</t>
  </si>
  <si>
    <t>DOKU BENEDICTA</t>
  </si>
  <si>
    <t xml:space="preserve"> </t>
  </si>
  <si>
    <t>COMPUTING</t>
  </si>
  <si>
    <t>POSITION</t>
  </si>
  <si>
    <t xml:space="preserve"> ABAYATEYE EMMANUEL </t>
  </si>
  <si>
    <t>AGBUGBLAH ERASMUS TETTEY</t>
  </si>
  <si>
    <t>AMUZU FELIX DASI</t>
  </si>
  <si>
    <t>APPIAH JEREMIAH BEKAR</t>
  </si>
  <si>
    <t>APECKOR SAMUEL TETTEY</t>
  </si>
  <si>
    <t>BUSUMPRAH JOSEPH DOE</t>
  </si>
  <si>
    <t>BUSUMPRAH REDEEMER NARH</t>
  </si>
  <si>
    <t>HUAGO MORDECAI TETTEY</t>
  </si>
  <si>
    <t>KWAME ELIAS TETTEY</t>
  </si>
  <si>
    <t>OKUTU EMMANUEL TETTEY</t>
  </si>
  <si>
    <t>PETIAFO PEREZ TETTEY</t>
  </si>
  <si>
    <t>SAI SALBERT TETTEY</t>
  </si>
  <si>
    <t>TOKOLI MICHAEL NARH</t>
  </si>
  <si>
    <t>YEWOTU REMEMBER TETTEH</t>
  </si>
  <si>
    <t>ASAMANI ELISHA TEYE</t>
  </si>
  <si>
    <t>ADJAH PRINCESS DEDE</t>
  </si>
  <si>
    <t>ALIMO VANESSA BUERKWOR</t>
  </si>
  <si>
    <t>ASIGBEY TRINITY DEDE</t>
  </si>
  <si>
    <t>DAKUDJI FAITH DEDE</t>
  </si>
  <si>
    <t>DONKOR EMMANUELLA ODRIAH</t>
  </si>
  <si>
    <t>HLORKA SELINA LADJEH</t>
  </si>
  <si>
    <t>HUAGO COLLINA KWEKIE</t>
  </si>
  <si>
    <t>KLOKPA JUDITH MAMLE</t>
  </si>
  <si>
    <t>SODODJI AISHA DEDE</t>
  </si>
  <si>
    <t>TOKOLI FREDA KORKOR</t>
  </si>
  <si>
    <t>R.M.E</t>
  </si>
  <si>
    <r>
      <t>AL</t>
    </r>
    <r>
      <rPr>
        <b/>
        <sz val="11"/>
        <color rgb="FF002060"/>
        <rFont val="ADEROS TRIAL Black"/>
        <family val="3"/>
      </rPr>
      <t>ALL 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</si>
</sst>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Imprint MT Shadow"/>
      <family val="5"/>
    </font>
    <font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1"/>
      <color rgb="FF002060"/>
      <name val="Aptos Narrow"/>
      <family val="2"/>
      <scheme val="minor"/>
    </font>
    <font>
      <sz val="16"/>
      <color rgb="FF00206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name val="Adobe Gothic Std B"/>
      <family val="2"/>
      <charset val="128"/>
    </font>
    <font>
      <sz val="11"/>
      <color rgb="FFFF6600"/>
      <name val="Aptos Narrow"/>
      <family val="2"/>
    </font>
    <font>
      <sz val="16"/>
      <color rgb="FF000000"/>
      <name val="Times New Roman"/>
      <family val="1"/>
    </font>
    <font>
      <b/>
      <sz val="16"/>
      <color rgb="FF0070C0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00B0F0"/>
      <name val="Times New Roman"/>
      <family val="1"/>
    </font>
    <font>
      <b/>
      <sz val="16"/>
      <color theme="3" tint="0.249977111117893"/>
      <name val="Times New Roman"/>
      <family val="1"/>
    </font>
    <font>
      <b/>
      <sz val="16"/>
      <color theme="3" tint="0.499984740745262"/>
      <name val="Times New Roman"/>
      <family val="1"/>
    </font>
    <font>
      <b/>
      <sz val="16"/>
      <color rgb="FF104861"/>
      <name val="Times New Roman"/>
      <family val="1"/>
    </font>
    <font>
      <b/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1"/>
      <color theme="0"/>
      <name val="Aptos Narrow"/>
      <family val="2"/>
    </font>
    <font>
      <b/>
      <u val="double"/>
      <sz val="16"/>
      <color rgb="FFFF66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4" tint="-0.499984740745262"/>
      <name val="Times New Roman"/>
      <family val="1"/>
    </font>
    <font>
      <sz val="11"/>
      <color theme="4" tint="-0.499984740745262"/>
      <name val="Aptos Narrow"/>
      <family val="2"/>
      <scheme val="minor"/>
    </font>
    <font>
      <b/>
      <sz val="16"/>
      <color theme="4" tint="0.39997558519241921"/>
      <name val="Times New Roman"/>
      <family val="1"/>
    </font>
    <font>
      <sz val="11"/>
      <color theme="4" tint="0.39997558519241921"/>
      <name val="Aptos Narrow"/>
      <family val="2"/>
      <scheme val="minor"/>
    </font>
    <font>
      <sz val="11"/>
      <name val="Adobe Gothic Std B"/>
      <family val="2"/>
      <charset val="128"/>
    </font>
    <font>
      <b/>
      <u val="double"/>
      <sz val="12"/>
      <name val="Adobe Ming Std L"/>
      <family val="1"/>
      <charset val="128"/>
    </font>
    <font>
      <b/>
      <sz val="11"/>
      <name val="Adobe Ming Std L"/>
      <family val="1"/>
      <charset val="128"/>
    </font>
    <font>
      <sz val="11"/>
      <name val="Aptos Narrow"/>
      <family val="2"/>
      <scheme val="minor"/>
    </font>
    <font>
      <sz val="16"/>
      <name val="Times New Roman"/>
      <family val="1"/>
    </font>
    <font>
      <b/>
      <sz val="16"/>
      <color theme="4" tint="-0.249977111117893"/>
      <name val="Times New Roman"/>
      <family val="1"/>
    </font>
    <font>
      <b/>
      <sz val="12"/>
      <color rgb="FFFFFFFF"/>
      <name val="ADEROS TRIAL Black"/>
      <family val="3"/>
    </font>
    <font>
      <b/>
      <sz val="12"/>
      <color theme="0"/>
      <name val="ADEROS TRIAL Black"/>
      <family val="3"/>
    </font>
    <font>
      <b/>
      <sz val="11"/>
      <name val="Adobe Ming Std L"/>
    </font>
    <font>
      <b/>
      <sz val="12"/>
      <name val="Adobe Ming Std L"/>
    </font>
    <font>
      <b/>
      <sz val="11"/>
      <color rgb="FF002060"/>
      <name val="ADEROS TRIAL Black"/>
      <family val="3"/>
    </font>
    <font>
      <b/>
      <u val="double"/>
      <sz val="16"/>
      <color theme="8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0C769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6" tint="-0.49998474074526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  <xf numFmtId="0" fontId="6" fillId="0" borderId="1" xfId="0" applyFont="1" applyBorder="1"/>
    <xf numFmtId="0" fontId="5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21" fillId="6" borderId="1" xfId="0" applyFont="1" applyFill="1" applyBorder="1"/>
    <xf numFmtId="0" fontId="11" fillId="6" borderId="1" xfId="0" applyFont="1" applyFill="1" applyBorder="1"/>
    <xf numFmtId="0" fontId="12" fillId="0" borderId="1" xfId="0" applyFont="1" applyBorder="1"/>
    <xf numFmtId="0" fontId="16" fillId="0" borderId="1" xfId="0" applyFont="1" applyBorder="1"/>
    <xf numFmtId="0" fontId="18" fillId="0" borderId="1" xfId="0" applyFont="1" applyBorder="1"/>
    <xf numFmtId="0" fontId="14" fillId="0" borderId="1" xfId="0" applyFont="1" applyBorder="1"/>
    <xf numFmtId="0" fontId="13" fillId="0" borderId="1" xfId="0" applyFont="1" applyBorder="1"/>
    <xf numFmtId="0" fontId="15" fillId="0" borderId="1" xfId="0" applyFont="1" applyBorder="1"/>
    <xf numFmtId="0" fontId="17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13" fillId="0" borderId="2" xfId="0" applyFont="1" applyBorder="1"/>
    <xf numFmtId="0" fontId="18" fillId="0" borderId="2" xfId="0" applyFont="1" applyBorder="1"/>
    <xf numFmtId="0" fontId="14" fillId="0" borderId="2" xfId="0" applyFont="1" applyBorder="1"/>
    <xf numFmtId="0" fontId="4" fillId="0" borderId="2" xfId="0" applyFont="1" applyBorder="1"/>
    <xf numFmtId="0" fontId="17" fillId="0" borderId="2" xfId="0" applyFont="1" applyBorder="1"/>
    <xf numFmtId="0" fontId="22" fillId="7" borderId="1" xfId="0" applyFont="1" applyFill="1" applyBorder="1"/>
    <xf numFmtId="0" fontId="23" fillId="0" borderId="1" xfId="0" applyFont="1" applyBorder="1"/>
    <xf numFmtId="0" fontId="23" fillId="0" borderId="2" xfId="0" applyFont="1" applyBorder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/>
    <xf numFmtId="0" fontId="27" fillId="0" borderId="0" xfId="0" applyFont="1"/>
    <xf numFmtId="0" fontId="3" fillId="7" borderId="1" xfId="0" applyFont="1" applyFill="1" applyBorder="1"/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/>
    <xf numFmtId="0" fontId="31" fillId="0" borderId="0" xfId="0" applyFont="1"/>
    <xf numFmtId="0" fontId="30" fillId="0" borderId="0" xfId="0" applyFont="1"/>
    <xf numFmtId="0" fontId="32" fillId="0" borderId="1" xfId="0" applyFont="1" applyBorder="1"/>
    <xf numFmtId="0" fontId="32" fillId="0" borderId="2" xfId="0" applyFont="1" applyBorder="1"/>
    <xf numFmtId="0" fontId="14" fillId="0" borderId="6" xfId="0" applyFont="1" applyBorder="1"/>
    <xf numFmtId="0" fontId="33" fillId="0" borderId="1" xfId="0" applyFont="1" applyBorder="1"/>
    <xf numFmtId="0" fontId="36" fillId="0" borderId="1" xfId="0" applyFont="1" applyBorder="1"/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9" fillId="7" borderId="1" xfId="0" applyFont="1" applyFill="1" applyBorder="1"/>
    <xf numFmtId="0" fontId="35" fillId="11" borderId="3" xfId="0" applyFont="1" applyFill="1" applyBorder="1" applyAlignment="1">
      <alignment horizontal="center"/>
    </xf>
    <xf numFmtId="0" fontId="10" fillId="11" borderId="4" xfId="0" applyFont="1" applyFill="1" applyBorder="1" applyAlignment="1">
      <alignment horizontal="center"/>
    </xf>
    <xf numFmtId="0" fontId="10" fillId="11" borderId="5" xfId="0" applyFont="1" applyFill="1" applyBorder="1" applyAlignment="1">
      <alignment horizontal="center"/>
    </xf>
    <xf numFmtId="0" fontId="35" fillId="4" borderId="3" xfId="0" applyFont="1" applyFill="1" applyBorder="1" applyAlignment="1">
      <alignment horizontal="center"/>
    </xf>
    <xf numFmtId="0" fontId="19" fillId="4" borderId="4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35" fillId="8" borderId="3" xfId="0" applyFont="1" applyFill="1" applyBorder="1" applyAlignment="1">
      <alignment horizontal="center"/>
    </xf>
    <xf numFmtId="0" fontId="28" fillId="8" borderId="4" xfId="0" applyFont="1" applyFill="1" applyBorder="1" applyAlignment="1">
      <alignment horizontal="center"/>
    </xf>
    <xf numFmtId="0" fontId="28" fillId="8" borderId="5" xfId="0" applyFont="1" applyFill="1" applyBorder="1" applyAlignment="1">
      <alignment horizontal="center"/>
    </xf>
    <xf numFmtId="0" fontId="35" fillId="5" borderId="3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9" fillId="5" borderId="5" xfId="0" applyFont="1" applyFill="1" applyBorder="1" applyAlignment="1">
      <alignment horizontal="center"/>
    </xf>
    <xf numFmtId="0" fontId="35" fillId="12" borderId="3" xfId="0" applyFont="1" applyFill="1" applyBorder="1" applyAlignment="1">
      <alignment horizontal="center"/>
    </xf>
    <xf numFmtId="0" fontId="19" fillId="12" borderId="4" xfId="0" applyFont="1" applyFill="1" applyBorder="1" applyAlignment="1">
      <alignment horizontal="center"/>
    </xf>
    <xf numFmtId="0" fontId="19" fillId="12" borderId="5" xfId="0" applyFont="1" applyFill="1" applyBorder="1" applyAlignment="1">
      <alignment horizontal="center"/>
    </xf>
    <xf numFmtId="0" fontId="35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35" fillId="9" borderId="3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34" fillId="3" borderId="3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35" fillId="10" borderId="3" xfId="0" applyFont="1" applyFill="1" applyBorder="1" applyAlignment="1">
      <alignment horizontal="center"/>
    </xf>
    <xf numFmtId="0" fontId="19" fillId="10" borderId="4" xfId="0" applyFont="1" applyFill="1" applyBorder="1" applyAlignment="1">
      <alignment horizontal="center"/>
    </xf>
    <xf numFmtId="0" fontId="19" fillId="1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72F6-A3FF-48CD-8685-AD98E654929F}">
  <dimension ref="A1:VF1671"/>
  <sheetViews>
    <sheetView tabSelected="1" zoomScale="115" zoomScaleNormal="115" workbookViewId="0">
      <pane xSplit="1" topLeftCell="B1" activePane="topRight" state="frozen"/>
      <selection pane="topRight" activeCell="BJ7" sqref="BJ7"/>
    </sheetView>
  </sheetViews>
  <sheetFormatPr defaultRowHeight="15"/>
  <cols>
    <col min="1" max="1" width="42.28515625" customWidth="1"/>
    <col min="2" max="2" width="7.42578125" customWidth="1"/>
    <col min="3" max="3" width="6.85546875" customWidth="1"/>
    <col min="4" max="4" width="5.5703125" customWidth="1"/>
    <col min="5" max="5" width="5.5703125" style="8" customWidth="1"/>
    <col min="6" max="6" width="18" style="8" customWidth="1"/>
    <col min="7" max="7" width="7.42578125" style="10" customWidth="1"/>
    <col min="8" max="8" width="7.85546875" customWidth="1"/>
    <col min="9" max="9" width="6.140625" style="10" customWidth="1"/>
    <col min="10" max="10" width="6" style="9" customWidth="1"/>
    <col min="11" max="11" width="7.28515625" style="10" customWidth="1"/>
    <col min="12" max="12" width="9.5703125" style="10" customWidth="1"/>
    <col min="13" max="13" width="18.5703125" style="10" customWidth="1"/>
    <col min="14" max="14" width="6.42578125" style="10" customWidth="1"/>
    <col min="15" max="15" width="8.7109375" customWidth="1"/>
    <col min="16" max="16" width="5.7109375" customWidth="1"/>
    <col min="17" max="17" width="6.28515625" customWidth="1"/>
    <col min="18" max="18" width="6.85546875" customWidth="1"/>
    <col min="19" max="19" width="9.140625" style="8" customWidth="1"/>
    <col min="20" max="20" width="19.140625" style="8" customWidth="1"/>
    <col min="21" max="21" width="7.5703125" style="10" customWidth="1"/>
    <col min="22" max="22" width="6.42578125" customWidth="1"/>
    <col min="23" max="23" width="6.5703125" customWidth="1"/>
    <col min="24" max="24" width="7.85546875" customWidth="1"/>
    <col min="25" max="25" width="6.42578125" style="10" customWidth="1"/>
    <col min="26" max="26" width="9.85546875" style="33" customWidth="1"/>
    <col min="27" max="27" width="16.5703125" style="31" customWidth="1"/>
    <col min="28" max="28" width="6.85546875" style="5" customWidth="1"/>
    <col min="29" max="29" width="7.7109375" customWidth="1"/>
    <col min="30" max="30" width="6.5703125" customWidth="1"/>
    <col min="31" max="31" width="6.42578125" customWidth="1"/>
    <col min="32" max="32" width="7.140625" customWidth="1"/>
    <col min="33" max="33" width="9.42578125" style="8" customWidth="1"/>
    <col min="34" max="34" width="19" style="8" customWidth="1"/>
    <col min="35" max="35" width="7.42578125" style="10" customWidth="1"/>
    <col min="36" max="36" width="6.42578125" customWidth="1"/>
    <col min="37" max="37" width="6" customWidth="1"/>
    <col min="38" max="38" width="6.7109375" customWidth="1"/>
    <col min="39" max="39" width="11.5703125" style="8" customWidth="1"/>
    <col min="40" max="40" width="16.5703125" style="8" customWidth="1"/>
    <col min="41" max="41" width="7.5703125" style="10" customWidth="1"/>
    <col min="42" max="42" width="7.5703125" customWidth="1"/>
    <col min="43" max="43" width="6" customWidth="1"/>
    <col min="45" max="45" width="9.7109375" style="8" customWidth="1"/>
    <col min="46" max="46" width="16.7109375" style="8" customWidth="1"/>
    <col min="47" max="47" width="10" style="10" customWidth="1"/>
    <col min="48" max="48" width="7.140625" style="7" customWidth="1"/>
    <col min="49" max="49" width="6.42578125" style="5" customWidth="1"/>
    <col min="50" max="50" width="7.85546875" customWidth="1"/>
    <col min="51" max="51" width="7.42578125" customWidth="1"/>
    <col min="52" max="52" width="16.42578125" customWidth="1"/>
    <col min="53" max="57" width="7.85546875" customWidth="1"/>
    <col min="58" max="58" width="15.7109375" customWidth="1"/>
    <col min="59" max="59" width="7.85546875" customWidth="1"/>
    <col min="60" max="60" width="10.28515625" customWidth="1"/>
    <col min="61" max="61" width="9.140625" customWidth="1"/>
  </cols>
  <sheetData>
    <row r="1" spans="1:578" ht="15.6" customHeight="1">
      <c r="A1" s="2"/>
      <c r="B1" s="47" t="s">
        <v>9</v>
      </c>
      <c r="C1" s="48"/>
      <c r="D1" s="48"/>
      <c r="E1" s="48"/>
      <c r="F1" s="48"/>
      <c r="G1" s="49"/>
      <c r="H1" s="53" t="s">
        <v>52</v>
      </c>
      <c r="I1" s="54"/>
      <c r="J1" s="54"/>
      <c r="K1" s="54"/>
      <c r="L1" s="54"/>
      <c r="M1" s="54"/>
      <c r="N1" s="55"/>
      <c r="O1" s="62" t="s">
        <v>0</v>
      </c>
      <c r="P1" s="63"/>
      <c r="Q1" s="63"/>
      <c r="R1" s="63"/>
      <c r="S1" s="63"/>
      <c r="T1" s="63"/>
      <c r="U1" s="64"/>
      <c r="V1" s="65" t="s">
        <v>12</v>
      </c>
      <c r="W1" s="66"/>
      <c r="X1" s="66"/>
      <c r="Y1" s="66"/>
      <c r="Z1" s="66"/>
      <c r="AA1" s="66"/>
      <c r="AB1" s="67"/>
      <c r="AC1" s="68" t="s">
        <v>1</v>
      </c>
      <c r="AD1" s="69"/>
      <c r="AE1" s="69"/>
      <c r="AF1" s="69"/>
      <c r="AG1" s="69"/>
      <c r="AH1" s="69"/>
      <c r="AI1" s="70"/>
      <c r="AJ1" s="71" t="s">
        <v>2</v>
      </c>
      <c r="AK1" s="72"/>
      <c r="AL1" s="72"/>
      <c r="AM1" s="72"/>
      <c r="AN1" s="72"/>
      <c r="AO1" s="73"/>
      <c r="AP1" s="50" t="s">
        <v>3</v>
      </c>
      <c r="AQ1" s="51"/>
      <c r="AR1" s="51"/>
      <c r="AS1" s="51"/>
      <c r="AT1" s="51"/>
      <c r="AU1" s="52"/>
      <c r="AV1" s="56" t="s">
        <v>4</v>
      </c>
      <c r="AW1" s="57"/>
      <c r="AX1" s="57"/>
      <c r="AY1" s="57"/>
      <c r="AZ1" s="57"/>
      <c r="BA1" s="58"/>
      <c r="BB1" s="59" t="s">
        <v>25</v>
      </c>
      <c r="BC1" s="60"/>
      <c r="BD1" s="60"/>
      <c r="BE1" s="60"/>
      <c r="BF1" s="60"/>
      <c r="BG1" s="61"/>
      <c r="BH1" s="11" t="s">
        <v>53</v>
      </c>
      <c r="BI1" s="12"/>
    </row>
    <row r="2" spans="1:578" s="38" customFormat="1" ht="14.1" customHeight="1">
      <c r="A2" s="35" t="s">
        <v>10</v>
      </c>
      <c r="B2" s="43" t="s">
        <v>7</v>
      </c>
      <c r="C2" s="43" t="s">
        <v>5</v>
      </c>
      <c r="D2" s="43" t="s">
        <v>6</v>
      </c>
      <c r="E2" s="43" t="s">
        <v>13</v>
      </c>
      <c r="F2" s="43" t="s">
        <v>8</v>
      </c>
      <c r="G2" s="43" t="s">
        <v>14</v>
      </c>
      <c r="H2" s="43" t="s">
        <v>7</v>
      </c>
      <c r="I2" s="43" t="s">
        <v>11</v>
      </c>
      <c r="J2" s="43" t="s">
        <v>6</v>
      </c>
      <c r="K2" s="43" t="s">
        <v>5</v>
      </c>
      <c r="L2" s="43" t="s">
        <v>13</v>
      </c>
      <c r="M2" s="43" t="s">
        <v>8</v>
      </c>
      <c r="N2" s="36" t="s">
        <v>14</v>
      </c>
      <c r="O2" s="43" t="s">
        <v>7</v>
      </c>
      <c r="P2" s="43" t="s">
        <v>11</v>
      </c>
      <c r="Q2" s="43" t="s">
        <v>6</v>
      </c>
      <c r="R2" s="43" t="s">
        <v>5</v>
      </c>
      <c r="S2" s="43" t="s">
        <v>13</v>
      </c>
      <c r="T2" s="43" t="s">
        <v>8</v>
      </c>
      <c r="U2" s="43" t="s">
        <v>26</v>
      </c>
      <c r="V2" s="43" t="s">
        <v>7</v>
      </c>
      <c r="W2" s="43" t="s">
        <v>11</v>
      </c>
      <c r="X2" s="43" t="s">
        <v>5</v>
      </c>
      <c r="Y2" s="43" t="s">
        <v>6</v>
      </c>
      <c r="Z2" s="44" t="s">
        <v>13</v>
      </c>
      <c r="AA2" s="44" t="s">
        <v>8</v>
      </c>
      <c r="AB2" s="43" t="s">
        <v>14</v>
      </c>
      <c r="AC2" s="43" t="s">
        <v>7</v>
      </c>
      <c r="AD2" s="44" t="s">
        <v>11</v>
      </c>
      <c r="AE2" s="44" t="s">
        <v>6</v>
      </c>
      <c r="AF2" s="43" t="s">
        <v>5</v>
      </c>
      <c r="AG2" s="44" t="s">
        <v>13</v>
      </c>
      <c r="AH2" s="44" t="s">
        <v>8</v>
      </c>
      <c r="AI2" s="44" t="s">
        <v>14</v>
      </c>
      <c r="AJ2" s="43" t="s">
        <v>7</v>
      </c>
      <c r="AK2" s="44" t="s">
        <v>6</v>
      </c>
      <c r="AL2" s="43" t="s">
        <v>5</v>
      </c>
      <c r="AM2" s="44" t="s">
        <v>13</v>
      </c>
      <c r="AN2" s="44" t="s">
        <v>8</v>
      </c>
      <c r="AO2" s="44" t="s">
        <v>14</v>
      </c>
      <c r="AP2" s="43" t="s">
        <v>7</v>
      </c>
      <c r="AQ2" s="44" t="s">
        <v>6</v>
      </c>
      <c r="AR2" s="43" t="s">
        <v>5</v>
      </c>
      <c r="AS2" s="44" t="s">
        <v>13</v>
      </c>
      <c r="AT2" s="44" t="s">
        <v>8</v>
      </c>
      <c r="AU2" s="44" t="s">
        <v>14</v>
      </c>
      <c r="AV2" s="43" t="s">
        <v>7</v>
      </c>
      <c r="AW2" s="44" t="s">
        <v>6</v>
      </c>
      <c r="AX2" s="43" t="s">
        <v>5</v>
      </c>
      <c r="AY2" s="45" t="s">
        <v>13</v>
      </c>
      <c r="AZ2" s="45" t="s">
        <v>8</v>
      </c>
      <c r="BA2" s="44" t="s">
        <v>14</v>
      </c>
      <c r="BB2" s="43" t="s">
        <v>7</v>
      </c>
      <c r="BC2" s="44" t="s">
        <v>6</v>
      </c>
      <c r="BD2" s="43" t="s">
        <v>5</v>
      </c>
      <c r="BE2" s="45" t="s">
        <v>13</v>
      </c>
      <c r="BF2" s="45" t="s">
        <v>8</v>
      </c>
      <c r="BG2" s="44" t="s">
        <v>14</v>
      </c>
      <c r="BH2" s="44" t="s">
        <v>15</v>
      </c>
      <c r="BI2" s="43" t="s">
        <v>16</v>
      </c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</row>
    <row r="3" spans="1:578" ht="20.25">
      <c r="A3" s="1" t="s">
        <v>27</v>
      </c>
      <c r="B3" s="13">
        <v>24</v>
      </c>
      <c r="C3" s="13">
        <f>D3*0.7</f>
        <v>7</v>
      </c>
      <c r="D3" s="13">
        <v>10</v>
      </c>
      <c r="E3" s="14">
        <f t="shared" ref="E3:E34" si="0">B3+C3</f>
        <v>31</v>
      </c>
      <c r="F3" s="15" t="str">
        <f>IF(E3 &gt;= 80, "Advanced",
  IF(E3 &gt;= 75, "Proficiency",
  IF(E3 &gt;= 70, "AP",
  IF(E3 &gt;= 65, "Developing", "Beginner"))))</f>
        <v>Beginner</v>
      </c>
      <c r="G3" s="16" t="str">
        <f>_xlfn.RANK.EQ(E3, $E$3:$E$49, 0) &amp;
IF(AND(MOD(_xlfn.RANK.EQ(E3, $E$3:$E$49, 0), 100) &gt;= 11,
       MOD(_xlfn.RANK.EQ(E3, $E$3:$E$49, 0), 100) &lt;= 13),
    "th",
    CHOOSE(MOD(_xlfn.RANK.EQ(E3, $E$3:$E$49, 0), 10) + 1,
           "th", "st", "nd", "rd", "th", "th", "th", "th", "th", "th"))</f>
        <v>25th</v>
      </c>
      <c r="H3" s="13">
        <v>28</v>
      </c>
      <c r="I3" s="13">
        <v>100</v>
      </c>
      <c r="J3" s="3">
        <v>37</v>
      </c>
      <c r="K3" s="13">
        <f>J3*0.7</f>
        <v>25.9</v>
      </c>
      <c r="L3" s="17">
        <f t="shared" ref="L3:L34" si="1">H3+K3</f>
        <v>53.9</v>
      </c>
      <c r="M3" s="15" t="str">
        <f>IF(L3 &gt;= 80, "Advanced",
  IF(L3 &gt;= 75, "Proficiency",
  IF(L3 &gt;= 70, "AP",
  IF(L3 &gt;= 65, "Developing", "Beginner"))))</f>
        <v>Beginner</v>
      </c>
      <c r="N3" s="16" t="str">
        <f>_xlfn.RANK.EQ(L3, $L$3:$L$49, 0) &amp;
IF(AND(MOD(_xlfn.RANK.EQ(L3, $L$3:$L$49, 0), 100) &gt;= 11, MOD(_xlfn.RANK.EQ(L3, $L$3:$L$49, 0), 100) &lt;= 13),
    "th",
    IF(MOD(_xlfn.RANK.EQ(L3, $L$3:$L$49, 0), 10) = 1, "st",
        IF(MOD(_xlfn.RANK.EQ(L3, $L$3:$L$49, 0), 10) = 2, "nd",
            IF(MOD(_xlfn.RANK.EQ(L3, $L$3:$L$49, 0), 10) = 3, "rd", "th"))))</f>
        <v>25th</v>
      </c>
      <c r="O3" s="13">
        <v>25</v>
      </c>
      <c r="P3" s="13">
        <v>100</v>
      </c>
      <c r="Q3" s="13">
        <v>37</v>
      </c>
      <c r="R3" s="13" cm="1">
        <f t="array" ref="R3:R49">Q3:Q49*0.7</f>
        <v>25.9</v>
      </c>
      <c r="S3" s="17">
        <f>O3+R3</f>
        <v>50.9</v>
      </c>
      <c r="T3" s="15" t="str">
        <f>IF(S3 &gt;= 80, "Advanced",
  IF(S3 &gt;= 75, "Proficiency",
  IF(S3 &gt;= 70, "AP",
  IF(S3 &gt;= 65, "Developing", "Beginner"))))</f>
        <v>Beginner</v>
      </c>
      <c r="U3" s="16" t="str">
        <f t="shared" ref="U3:U34" si="2">_xlfn.RANK.EQ(S3, $S$3:$S$49, 0) &amp;
IF(AND(MOD(_xlfn.RANK.EQ(S3, $S$3:$S$49, 0), 100) &gt;= 11, MOD(_xlfn.RANK.EQ(S3, $S$3:$S$49, 0), 100) &lt;= 13),
    "th",
    IF(MOD(_xlfn.RANK.EQ(S3, $S$3:$S$49, 0), 10) = 1, "st",
        IF(MOD(_xlfn.RANK.EQ(S3, $S$3:$S$49, 0), 10) = 2, "nd",
            IF(MOD(_xlfn.RANK.EQ(S3, $S$3:$S$49, 0), 10) = 3, "rd", "th"))))</f>
        <v>21st</v>
      </c>
      <c r="V3" s="3">
        <v>26</v>
      </c>
      <c r="W3" s="3">
        <v>100</v>
      </c>
      <c r="X3" s="3">
        <f>Y3*0.7</f>
        <v>30.799999999999997</v>
      </c>
      <c r="Y3" s="39">
        <v>44</v>
      </c>
      <c r="Z3" s="32">
        <f>V3+X3</f>
        <v>56.8</v>
      </c>
      <c r="AA3" s="42" t="str">
        <f>IF(Z3 &gt;= 80, "Advanced",
  IF(Z3 &gt;= 75, "Proficiency",
  IF(Z3 &gt;= 70, "AP",
  IF(Z3 &gt;= 65, "Developing", "Beginner"))))</f>
        <v>Beginner</v>
      </c>
      <c r="AB3" s="16" t="str">
        <f>_xlfn.RANK.EQ(Z3, $Z$3:$Z$49, 0) &amp;
IF(AND(MOD(_xlfn.RANK.EQ(Z3, $Z$3:$Z$49, 0), 100) &gt;= 11,
       MOD(_xlfn.RANK.EQ(Z3, $Z$3:$Z$49, 0), 100) &lt;= 13),
    "th",
    CHOOSE(MOD(_xlfn.RANK.EQ(Z3, $Z$3:$Z$49, 0), 10) + 1,
           "th", "st", "nd", "rd", "th", "th", "th", "th", "th", "th"))</f>
        <v>20th</v>
      </c>
      <c r="AC3" s="13">
        <v>28</v>
      </c>
      <c r="AD3" s="13">
        <v>100</v>
      </c>
      <c r="AE3" s="13">
        <v>26</v>
      </c>
      <c r="AF3" s="13">
        <f>AE3*0.7</f>
        <v>18.2</v>
      </c>
      <c r="AG3" s="18">
        <f>AC3+AF3</f>
        <v>46.2</v>
      </c>
      <c r="AH3" s="15" t="str">
        <f>IF(AG3 &gt;= 80, "Advanced",
  IF(AG3 &gt;= 75, "Proficiency",
  IF(AG3 &gt;= 70, "AP",
  IF(AG3 &gt;= 65, "Developing", "Beginner"))))</f>
        <v>Beginner</v>
      </c>
      <c r="AI3" s="16" t="str">
        <f t="shared" ref="AI3:AI34" si="3">_xlfn.RANK.EQ(AG3, $AG$3:$AG$49, 0) &amp;
IF(AND(MOD(_xlfn.RANK.EQ(AG3, $AG$3:$AG$49, 0), 100) &gt;= 11,
       MOD(_xlfn.RANK.EQ(AG3, $AG$3:$AG$49, 0), 100) &lt;= 13),
    "th",
    CHOOSE(MOD(_xlfn.RANK.EQ(AG3, $AG$3:$AG$49, 0), 10) + 1,
           "th", "st", "nd", "rd", "th", "th", "th", "th", "th", "th"))</f>
        <v>25th</v>
      </c>
      <c r="AJ3" s="13">
        <v>30</v>
      </c>
      <c r="AK3" s="13">
        <v>79</v>
      </c>
      <c r="AL3" s="13" cm="1">
        <f t="array" ref="AL3:AL49">AK3:AK49*0.7</f>
        <v>55.3</v>
      </c>
      <c r="AM3" s="18" cm="1">
        <f t="array" ref="AM3:AM49">AJ3:AJ49+AL3:AL49</f>
        <v>85.3</v>
      </c>
      <c r="AN3" s="15" t="str">
        <f>IF(AM3 &gt;= 80, "Advanced",
  IF(AM3 &gt;= 75, "Proficiency",
  IF(AM3 &gt;= 70, "AP",
  IF(AM3 &gt;= 65, "Developing", "Beginner"))))</f>
        <v>Advanced</v>
      </c>
      <c r="AO3" s="16" t="str">
        <f t="shared" ref="AO3:AO34" si="4">_xlfn.RANK.EQ(AM3, $AM$3:$AM$49, 0) &amp;
IF(AND(MOD(_xlfn.RANK.EQ(AM3, $AM$3:$AM$49, 0), 100) &gt;= 11,
       MOD(_xlfn.RANK.EQ(AM3, $AM$3:$AM$49, 0), 100) &lt;= 13),
    "th",
    CHOOSE(MOD(_xlfn.RANK.EQ(AM3, $AM$3:$AM$49, 0), 10) + 1,
           "th", "st", "nd", "rd", "th", "th", "th", "th", "th", "th"))</f>
        <v>13th</v>
      </c>
      <c r="AP3" s="13">
        <v>30</v>
      </c>
      <c r="AQ3" s="13">
        <v>50</v>
      </c>
      <c r="AR3" s="13" cm="1">
        <f t="array" ref="AR3:AR49">AQ3:AQ49*0.7</f>
        <v>35</v>
      </c>
      <c r="AS3" s="18">
        <f>AP3+AR3</f>
        <v>65</v>
      </c>
      <c r="AT3" s="15" t="str">
        <f>IF(AS3 &gt;= 80, "Advanced",
  IF(AS3 &gt;= 75, "Proficiency",
  IF(AS3 &gt;= 70, "AP",
  IF(AS3 &gt;= 65, "Developing", "Beginner"))))</f>
        <v>Developing</v>
      </c>
      <c r="AU3" s="16" t="str">
        <f>_xlfn.RANK.EQ(AS3, $AS$3:$AS$49, 0) &amp;
IF(AND(MOD(_xlfn.RANK.EQ(AS3, $AS$3:$AS$49, 0), 100) &gt;= 11,
       MOD(_xlfn.RANK.EQ(AS3, $AS$3:$AS$49, 0), 100) &lt;= 13),
    "th",
    CHOOSE(MOD(_xlfn.RANK.EQ(AS3, $AS$3:$AS$49, 0), 10) + 1,
           "th", "st", "nd", "rd", "th", "th", "th", "th", "th", "th"))</f>
        <v>18th</v>
      </c>
      <c r="AV3" s="13">
        <v>25</v>
      </c>
      <c r="AW3" s="13">
        <v>51</v>
      </c>
      <c r="AX3" s="13" cm="1">
        <f t="array" ref="AX3:AX49">AW3:AW49*0.7</f>
        <v>35.699999999999996</v>
      </c>
      <c r="AY3" s="19" cm="1">
        <f t="array" ref="AY3:AY49">AV3:AV49+AX3:AX49</f>
        <v>60.699999999999996</v>
      </c>
      <c r="AZ3" s="15" t="str">
        <f>IF(AY3 &gt;= 80, "Advanced",
  IF(AY3 &gt;= 75, "Proficiency",
  IF(AY3 &gt;= 70, "AP",
  IF(AY3 &gt;= 65, "Developing", "Beginner"))))</f>
        <v>Beginner</v>
      </c>
      <c r="BA3" s="16" t="str">
        <f t="shared" ref="BA3:BA34" si="5">_xlfn.RANK.EQ(AY3, $AY$3:$AY$49, 0) &amp;
IF(AND(MOD(_xlfn.RANK.EQ(AY3, $AY$3:$AY$49, 0), 100) &gt;= 11,
       MOD(_xlfn.RANK.EQ(AY3, $AY$3:$AY$49, 0), 100) &lt;= 13),
    "th",
    CHOOSE(MOD(_xlfn.RANK.EQ(AY3, $AY$3:$AY$49, 0), 10) + 1,
           "th", "st", "nd", "rd", "th", "th", "th", "th", "th", "th"))</f>
        <v>18th</v>
      </c>
      <c r="BB3" s="13">
        <v>30</v>
      </c>
      <c r="BC3" s="13">
        <v>46</v>
      </c>
      <c r="BD3" s="13" cm="1">
        <f t="array" ref="BD3:BD49">BC3:BC49*0.7</f>
        <v>32.199999999999996</v>
      </c>
      <c r="BE3" s="19" cm="1">
        <f t="array" ref="BE3:BE49">BB3:BB49+BD3:BD49</f>
        <v>62.199999999999996</v>
      </c>
      <c r="BF3" s="15" t="str">
        <f>IF(BE3 &gt;= 80, "Advanced",
  IF(BE3 &gt;= 75, "Proficiency",
  IF(BE3 &gt;= 70, "AP",
  IF(BE3 &gt;= 65, "Developing", "Beginner"))))</f>
        <v>Beginner</v>
      </c>
      <c r="BG3" s="16" t="str">
        <f>_xlfn.RANK.EQ(BE3, $BE$3:$BE$49, 0) &amp;
IF(AND(MOD(_xlfn.RANK.EQ(BE3, $BE$3:$BE$49, 0), 100) &gt;= 11,
       MOD(_xlfn.RANK.EQ(BE3, $BE$3:$BE$49, 0), 100) &lt;= 13),
    "th",
    CHOOSE(MOD(_xlfn.RANK.EQ(BE3, $BE$3:$BE$49, 0), 10) + 1,
           "th", "st", "nd", "rd", "th", "th", "th", "th", "th", "th"))</f>
        <v>26th</v>
      </c>
      <c r="BH3" s="6">
        <f>SUM( E3,Z3,S3,AG3,AM3,AS3,AY3,L3,BE3)</f>
        <v>511.99999999999994</v>
      </c>
      <c r="BI3" s="46" t="str">
        <f>_xlfn.RANK.EQ(BH3, $BH$3:$BH$49, 0) &amp;
IF(AND(MOD(_xlfn.RANK.EQ(BH3, $BH$3:$BH$49, 0), 100) &gt;= 11,
       MOD(_xlfn.RANK.EQ(BH3, $BH$3:$BH$49, 0), 100) &lt;= 13),
    "th",
    CHOOSE(MOD(_xlfn.RANK.EQ(BH3, $BH$3:$BH$49, 0), 10) + 1,
           "th", "st", "nd", "rd", "th", "th", "th", "th", "th", "th"))</f>
        <v>23rd</v>
      </c>
    </row>
    <row r="4" spans="1:578" ht="20.25">
      <c r="A4" s="1" t="s">
        <v>28</v>
      </c>
      <c r="B4" s="13">
        <v>24</v>
      </c>
      <c r="C4" s="13">
        <f t="shared" ref="C4:C49" si="6">D4*0.7</f>
        <v>7</v>
      </c>
      <c r="D4" s="3">
        <v>10</v>
      </c>
      <c r="E4" s="14">
        <f t="shared" si="0"/>
        <v>31</v>
      </c>
      <c r="F4" s="15" t="str">
        <f t="shared" ref="F4:F34" si="7">IF(E4 &gt;= 80, "Advanced",
  IF(E4 &gt;= 75, "Proficiency",
  IF(E4 &gt;= 70, "AP",
  IF(E4 &gt;= 65, "Developing", "Beginner"))))</f>
        <v>Beginner</v>
      </c>
      <c r="G4" s="16" t="str">
        <f t="shared" ref="G4:G34" si="8">_xlfn.RANK.EQ(E4, $E$3:$E$49, 0) &amp;
IF(AND(MOD(_xlfn.RANK.EQ(E4, $E$3:$E$49, 0), 100) &gt;= 11,
       MOD(_xlfn.RANK.EQ(E4, $E$3:$E$49, 0), 100) &lt;= 13),
    "th",
    CHOOSE(MOD(_xlfn.RANK.EQ(E4, $E$3:$E$49, 0), 10) + 1,
           "th", "st", "nd", "rd", "th", "th", "th", "th", "th", "th"))</f>
        <v>25th</v>
      </c>
      <c r="H4" s="13">
        <v>28</v>
      </c>
      <c r="I4" s="13">
        <v>100</v>
      </c>
      <c r="J4" s="3">
        <v>51</v>
      </c>
      <c r="K4" s="13">
        <f t="shared" ref="K4:K49" si="9">J4*0.7</f>
        <v>35.699999999999996</v>
      </c>
      <c r="L4" s="17">
        <f t="shared" si="1"/>
        <v>63.699999999999996</v>
      </c>
      <c r="M4" s="15" t="str">
        <f t="shared" ref="M4:M34" si="10">IF(L4 &gt;= 80, "Advanced",
  IF(L4 &gt;= 75, "Proficiency",
  IF(L4 &gt;= 70, "AP",
  IF(L4 &gt;= 65, "Developing", "Beginner"))))</f>
        <v>Beginner</v>
      </c>
      <c r="N4" s="16" t="str">
        <f t="shared" ref="N4:N34" si="11">_xlfn.RANK.EQ(L4, $L$3:$L$49, 0) &amp;
IF(AND(MOD(_xlfn.RANK.EQ(L4, $L$3:$L$49, 0), 100) &gt;= 11, MOD(_xlfn.RANK.EQ(L4, $L$3:$L$49, 0), 100) &lt;= 13),
    "th",
    IF(MOD(_xlfn.RANK.EQ(L4, $L$3:$L$49, 0), 10) = 1, "st",
        IF(MOD(_xlfn.RANK.EQ(L4, $L$3:$L$49, 0), 10) = 2, "nd",
            IF(MOD(_xlfn.RANK.EQ(L4, $L$3:$L$49, 0), 10) = 3, "rd", "th"))))</f>
        <v>13th</v>
      </c>
      <c r="O4" s="13">
        <v>15</v>
      </c>
      <c r="P4" s="13">
        <v>100</v>
      </c>
      <c r="Q4" s="3">
        <v>28</v>
      </c>
      <c r="R4" s="3">
        <v>19.599999999999998</v>
      </c>
      <c r="S4" s="17">
        <f t="shared" ref="S4:S34" si="12">O4+R4</f>
        <v>34.599999999999994</v>
      </c>
      <c r="T4" s="15" t="str">
        <f t="shared" ref="T4:T34" si="13">IF(S4 &gt;= 80, "Advanced",
  IF(S4 &gt;= 75, "Proficiency",
  IF(S4 &gt;= 70, "AP",
  IF(S4 &gt;= 65, "Developing", "Beginner"))))</f>
        <v>Beginner</v>
      </c>
      <c r="U4" s="16" t="str">
        <f t="shared" si="2"/>
        <v>30th</v>
      </c>
      <c r="V4" s="3">
        <v>27</v>
      </c>
      <c r="W4" s="3">
        <v>100</v>
      </c>
      <c r="X4" s="3">
        <f>Y4*0.7</f>
        <v>23.799999999999997</v>
      </c>
      <c r="Y4" s="39">
        <v>34</v>
      </c>
      <c r="Z4" s="32">
        <f>V4+X4</f>
        <v>50.8</v>
      </c>
      <c r="AA4" s="42" t="str">
        <f t="shared" ref="AA4:AA34" si="14">IF(Z4 &gt;= 80, "Advanced",
  IF(Z4 &gt;= 75, "Proficiency",
  IF(Z4 &gt;= 70, "AP",
  IF(Z4 &gt;= 65, "Developing", "Beginner"))))</f>
        <v>Beginner</v>
      </c>
      <c r="AB4" s="16" t="str">
        <f t="shared" ref="AB4:AB34" si="15">_xlfn.RANK.EQ(Z4, $Z$3:$Z$49, 0) &amp;
IF(AND(MOD(_xlfn.RANK.EQ(Z4, $Z$3:$Z$49, 0), 100) &gt;= 11,
       MOD(_xlfn.RANK.EQ(Z4, $Z$3:$Z$49, 0), 100) &lt;= 13),
    "th",
    CHOOSE(MOD(_xlfn.RANK.EQ(Z4, $Z$3:$Z$49, 0), 10) + 1,
           "th", "st", "nd", "rd", "th", "th", "th", "th", "th", "th"))</f>
        <v>25th</v>
      </c>
      <c r="AC4" s="13">
        <v>28</v>
      </c>
      <c r="AD4" s="13">
        <v>100</v>
      </c>
      <c r="AE4" s="3">
        <v>43</v>
      </c>
      <c r="AF4" s="13">
        <f t="shared" ref="AF4:AF34" si="16">AE4*0.7</f>
        <v>30.099999999999998</v>
      </c>
      <c r="AG4" s="18">
        <f t="shared" ref="AG4:AG34" si="17">AC4+AF4</f>
        <v>58.099999999999994</v>
      </c>
      <c r="AH4" s="15" t="str">
        <f t="shared" ref="AH4:AH34" si="18">IF(AG4 &gt;= 80, "Advanced",
  IF(AG4 &gt;= 75, "Proficiency",
  IF(AG4 &gt;= 70, "AP",
  IF(AG4 &gt;= 65, "Developing", "Beginner"))))</f>
        <v>Beginner</v>
      </c>
      <c r="AI4" s="16" t="str">
        <f t="shared" si="3"/>
        <v>15th</v>
      </c>
      <c r="AJ4" s="13">
        <v>30</v>
      </c>
      <c r="AK4" s="3">
        <v>68</v>
      </c>
      <c r="AL4" s="3">
        <v>47.599999999999994</v>
      </c>
      <c r="AM4" s="17">
        <v>77.599999999999994</v>
      </c>
      <c r="AN4" s="15" t="str">
        <f t="shared" ref="AN4:AN34" si="19">IF(AM4 &gt;= 80, "Advanced",
  IF(AM4 &gt;= 75, "Proficiency",
  IF(AM4 &gt;= 70, "AP",
  IF(AM4 &gt;= 65, "Developing", "Beginner"))))</f>
        <v>Proficiency</v>
      </c>
      <c r="AO4" s="16" t="str">
        <f t="shared" si="4"/>
        <v>22nd</v>
      </c>
      <c r="AP4" s="13">
        <v>30</v>
      </c>
      <c r="AQ4" s="3">
        <v>50</v>
      </c>
      <c r="AR4" s="3">
        <v>35</v>
      </c>
      <c r="AS4" s="18">
        <f t="shared" ref="AS4:AS9" si="20">AP4+AR4</f>
        <v>65</v>
      </c>
      <c r="AT4" s="15" t="str">
        <f t="shared" ref="AT4:AT34" si="21">IF(AS4 &gt;= 80, "Advanced",
  IF(AS4 &gt;= 75, "Proficiency",
  IF(AS4 &gt;= 70, "AP",
  IF(AS4 &gt;= 65, "Developing", "Beginner"))))</f>
        <v>Developing</v>
      </c>
      <c r="AU4" s="16" t="str">
        <f t="shared" ref="AU4:AU34" si="22">_xlfn.RANK.EQ(AS4, $AS$3:$AS$49, 0) &amp;
IF(AND(MOD(_xlfn.RANK.EQ(AS4, $AS$3:$AS$49, 0), 100) &gt;= 11,
       MOD(_xlfn.RANK.EQ(AS4, $AS$3:$AS$49, 0), 100) &lt;= 13),
    "th",
    CHOOSE(MOD(_xlfn.RANK.EQ(AS4, $AS$3:$AS$49, 0), 10) + 1,
           "th", "st", "nd", "rd", "th", "th", "th", "th", "th", "th"))</f>
        <v>18th</v>
      </c>
      <c r="AV4" s="13">
        <v>25</v>
      </c>
      <c r="AW4" s="39">
        <v>45</v>
      </c>
      <c r="AX4" s="3">
        <v>31.499999999999996</v>
      </c>
      <c r="AY4" s="19">
        <v>56.5</v>
      </c>
      <c r="AZ4" s="15" t="str">
        <f t="shared" ref="AZ4:AZ34" si="23">IF(AY4 &gt;= 80, "Advanced",
  IF(AY4 &gt;= 75, "Proficiency",
  IF(AY4 &gt;= 70, "AP",
  IF(AY4 &gt;= 65, "Developing", "Beginner"))))</f>
        <v>Beginner</v>
      </c>
      <c r="BA4" s="16" t="str">
        <f t="shared" si="5"/>
        <v>23rd</v>
      </c>
      <c r="BB4" s="13">
        <v>30</v>
      </c>
      <c r="BC4" s="4">
        <v>50</v>
      </c>
      <c r="BD4" s="3">
        <v>35</v>
      </c>
      <c r="BE4" s="19">
        <v>65</v>
      </c>
      <c r="BF4" s="15" t="str">
        <f t="shared" ref="BF4:BF34" si="24">IF(BE4 &gt;= 80, "Advanced",
  IF(BE4 &gt;= 75, "Proficiency",
  IF(BE4 &gt;= 70, "AP",
  IF(BE4 &gt;= 65, "Developing", "Beginner"))))</f>
        <v>Developing</v>
      </c>
      <c r="BG4" s="16" t="str">
        <f t="shared" ref="BG4:BG34" si="25">_xlfn.RANK.EQ(BE4, $BE$3:$BE$49, 0) &amp;
IF(AND(MOD(_xlfn.RANK.EQ(BE4, $BE$3:$BE$49, 0), 100) &gt;= 11,
       MOD(_xlfn.RANK.EQ(BE4, $BE$3:$BE$49, 0), 100) &lt;= 13),
    "th",
    CHOOSE(MOD(_xlfn.RANK.EQ(BE4, $BE$3:$BE$49, 0), 10) + 1,
           "th", "st", "nd", "rd", "th", "th", "th", "th", "th", "th"))</f>
        <v>22nd</v>
      </c>
      <c r="BH4" s="6">
        <f t="shared" ref="BH4:BH34" si="26">SUM( E4,Z4,S4,AG4,AM4,AS4,AY4,L4,BE4)</f>
        <v>502.3</v>
      </c>
      <c r="BI4" s="46" t="str">
        <f t="shared" ref="BI4:BI34" si="27">_xlfn.RANK.EQ(BH4, $BH$3:$BH$49, 0) &amp;
IF(AND(MOD(_xlfn.RANK.EQ(BH4, $BH$3:$BH$49, 0), 100) &gt;= 11,
       MOD(_xlfn.RANK.EQ(BH4, $BH$3:$BH$49, 0), 100) &lt;= 13),
    "th",
    CHOOSE(MOD(_xlfn.RANK.EQ(BH4, $BH$3:$BH$49, 0), 10) + 1,
           "th", "st", "nd", "rd", "th", "th", "th", "th", "th", "th"))</f>
        <v>25th</v>
      </c>
    </row>
    <row r="5" spans="1:578" ht="20.25">
      <c r="A5" s="1" t="s">
        <v>17</v>
      </c>
      <c r="B5" s="13">
        <v>24</v>
      </c>
      <c r="C5" s="13">
        <f t="shared" si="6"/>
        <v>10.5</v>
      </c>
      <c r="D5" s="3">
        <v>15</v>
      </c>
      <c r="E5" s="14">
        <f t="shared" si="0"/>
        <v>34.5</v>
      </c>
      <c r="F5" s="15" t="str">
        <f t="shared" si="7"/>
        <v>Beginner</v>
      </c>
      <c r="G5" s="16" t="str">
        <f t="shared" si="8"/>
        <v>23rd</v>
      </c>
      <c r="H5" s="13">
        <v>28</v>
      </c>
      <c r="I5" s="13">
        <v>100</v>
      </c>
      <c r="J5" s="3">
        <v>33</v>
      </c>
      <c r="K5" s="13">
        <f t="shared" si="9"/>
        <v>23.099999999999998</v>
      </c>
      <c r="L5" s="17">
        <f t="shared" si="1"/>
        <v>51.099999999999994</v>
      </c>
      <c r="M5" s="15" t="str">
        <f t="shared" si="10"/>
        <v>Beginner</v>
      </c>
      <c r="N5" s="16" t="str">
        <f t="shared" si="11"/>
        <v>27th</v>
      </c>
      <c r="O5" s="13">
        <v>22</v>
      </c>
      <c r="P5" s="13">
        <v>100</v>
      </c>
      <c r="Q5" s="3">
        <v>34</v>
      </c>
      <c r="R5" s="3">
        <v>23.799999999999997</v>
      </c>
      <c r="S5" s="17">
        <f t="shared" si="12"/>
        <v>45.8</v>
      </c>
      <c r="T5" s="15" t="str">
        <f t="shared" si="13"/>
        <v>Beginner</v>
      </c>
      <c r="U5" s="16" t="str">
        <f t="shared" si="2"/>
        <v>24th</v>
      </c>
      <c r="V5" s="3">
        <v>26</v>
      </c>
      <c r="W5" s="3">
        <v>100</v>
      </c>
      <c r="X5" s="3">
        <f t="shared" ref="X5:X34" si="28">Y5*0.7</f>
        <v>35</v>
      </c>
      <c r="Y5" s="39">
        <v>50</v>
      </c>
      <c r="Z5" s="32">
        <f t="shared" ref="Z5:Z34" si="29">V5+X5</f>
        <v>61</v>
      </c>
      <c r="AA5" s="42" t="str">
        <f t="shared" si="14"/>
        <v>Beginner</v>
      </c>
      <c r="AB5" s="16" t="str">
        <f t="shared" si="15"/>
        <v>16th</v>
      </c>
      <c r="AC5" s="13">
        <v>28</v>
      </c>
      <c r="AD5" s="13">
        <v>100</v>
      </c>
      <c r="AE5" s="3">
        <v>38</v>
      </c>
      <c r="AF5" s="13">
        <f t="shared" si="16"/>
        <v>26.599999999999998</v>
      </c>
      <c r="AG5" s="18">
        <f t="shared" si="17"/>
        <v>54.599999999999994</v>
      </c>
      <c r="AH5" s="15" t="str">
        <f t="shared" si="18"/>
        <v>Beginner</v>
      </c>
      <c r="AI5" s="16" t="str">
        <f t="shared" si="3"/>
        <v>18th</v>
      </c>
      <c r="AJ5" s="13">
        <v>30</v>
      </c>
      <c r="AK5" s="3">
        <v>70</v>
      </c>
      <c r="AL5" s="3">
        <v>49</v>
      </c>
      <c r="AM5" s="17">
        <v>79</v>
      </c>
      <c r="AN5" s="15" t="str">
        <f t="shared" si="19"/>
        <v>Proficiency</v>
      </c>
      <c r="AO5" s="16" t="str">
        <f t="shared" si="4"/>
        <v>20th</v>
      </c>
      <c r="AP5" s="13">
        <v>30</v>
      </c>
      <c r="AQ5" s="3">
        <v>44</v>
      </c>
      <c r="AR5" s="3">
        <v>30.799999999999997</v>
      </c>
      <c r="AS5" s="18">
        <f t="shared" si="20"/>
        <v>60.8</v>
      </c>
      <c r="AT5" s="15" t="str">
        <f t="shared" si="21"/>
        <v>Beginner</v>
      </c>
      <c r="AU5" s="16" t="str">
        <f t="shared" si="22"/>
        <v>24th</v>
      </c>
      <c r="AV5" s="13">
        <v>25</v>
      </c>
      <c r="AW5" s="39">
        <v>42</v>
      </c>
      <c r="AX5" s="3">
        <v>29.4</v>
      </c>
      <c r="AY5" s="19">
        <v>54.4</v>
      </c>
      <c r="AZ5" s="15" t="str">
        <f t="shared" si="23"/>
        <v>Beginner</v>
      </c>
      <c r="BA5" s="16" t="str">
        <f t="shared" si="5"/>
        <v>24th</v>
      </c>
      <c r="BB5" s="13">
        <v>30</v>
      </c>
      <c r="BC5" s="4">
        <v>45</v>
      </c>
      <c r="BD5" s="3">
        <v>31.499999999999996</v>
      </c>
      <c r="BE5" s="19">
        <v>61.5</v>
      </c>
      <c r="BF5" s="15" t="str">
        <f t="shared" si="24"/>
        <v>Beginner</v>
      </c>
      <c r="BG5" s="16" t="str">
        <f t="shared" si="25"/>
        <v>28th</v>
      </c>
      <c r="BH5" s="6">
        <f t="shared" si="26"/>
        <v>502.69999999999993</v>
      </c>
      <c r="BI5" s="46" t="str">
        <f t="shared" si="27"/>
        <v>24th</v>
      </c>
    </row>
    <row r="6" spans="1:578" ht="20.25">
      <c r="A6" s="1" t="s">
        <v>29</v>
      </c>
      <c r="B6" s="13">
        <v>24</v>
      </c>
      <c r="C6" s="13">
        <f t="shared" si="6"/>
        <v>3.5</v>
      </c>
      <c r="D6" s="3">
        <v>5</v>
      </c>
      <c r="E6" s="14">
        <f t="shared" si="0"/>
        <v>27.5</v>
      </c>
      <c r="F6" s="15" t="str">
        <f t="shared" si="7"/>
        <v>Beginner</v>
      </c>
      <c r="G6" s="16" t="str">
        <f t="shared" si="8"/>
        <v>27th</v>
      </c>
      <c r="H6" s="13">
        <v>27</v>
      </c>
      <c r="I6" s="13">
        <v>100</v>
      </c>
      <c r="J6" s="3">
        <v>25</v>
      </c>
      <c r="K6" s="13">
        <f t="shared" si="9"/>
        <v>17.5</v>
      </c>
      <c r="L6" s="17">
        <f t="shared" si="1"/>
        <v>44.5</v>
      </c>
      <c r="M6" s="15" t="str">
        <f t="shared" si="10"/>
        <v>Beginner</v>
      </c>
      <c r="N6" s="16" t="str">
        <f t="shared" si="11"/>
        <v>30th</v>
      </c>
      <c r="O6" s="13">
        <v>22</v>
      </c>
      <c r="P6" s="13">
        <v>100</v>
      </c>
      <c r="Q6" s="3">
        <v>44</v>
      </c>
      <c r="R6" s="3">
        <v>30.799999999999997</v>
      </c>
      <c r="S6" s="17">
        <f t="shared" si="12"/>
        <v>52.8</v>
      </c>
      <c r="T6" s="15" t="str">
        <f t="shared" si="13"/>
        <v>Beginner</v>
      </c>
      <c r="U6" s="16" t="str">
        <f t="shared" si="2"/>
        <v>19th</v>
      </c>
      <c r="V6" s="3">
        <v>20</v>
      </c>
      <c r="W6" s="3">
        <v>100</v>
      </c>
      <c r="X6" s="3">
        <f t="shared" si="28"/>
        <v>22.4</v>
      </c>
      <c r="Y6" s="39">
        <v>32</v>
      </c>
      <c r="Z6" s="32">
        <f t="shared" si="29"/>
        <v>42.4</v>
      </c>
      <c r="AA6" s="42" t="str">
        <f t="shared" si="14"/>
        <v>Beginner</v>
      </c>
      <c r="AB6" s="16" t="str">
        <f t="shared" si="15"/>
        <v>29th</v>
      </c>
      <c r="AC6" s="13">
        <v>30</v>
      </c>
      <c r="AD6" s="13">
        <v>100</v>
      </c>
      <c r="AE6" s="3">
        <v>68</v>
      </c>
      <c r="AF6" s="13">
        <f t="shared" si="16"/>
        <v>47.599999999999994</v>
      </c>
      <c r="AG6" s="18">
        <f t="shared" si="17"/>
        <v>77.599999999999994</v>
      </c>
      <c r="AH6" s="15" t="str">
        <f t="shared" si="18"/>
        <v>Proficiency</v>
      </c>
      <c r="AI6" s="16" t="str">
        <f t="shared" si="3"/>
        <v>8th</v>
      </c>
      <c r="AJ6" s="13">
        <v>30</v>
      </c>
      <c r="AK6" s="3">
        <v>74</v>
      </c>
      <c r="AL6" s="3">
        <v>51.8</v>
      </c>
      <c r="AM6" s="17">
        <v>81.8</v>
      </c>
      <c r="AN6" s="15" t="str">
        <f t="shared" si="19"/>
        <v>Advanced</v>
      </c>
      <c r="AO6" s="16" t="str">
        <f t="shared" si="4"/>
        <v>17th</v>
      </c>
      <c r="AP6" s="13">
        <v>30</v>
      </c>
      <c r="AQ6" s="3">
        <v>31</v>
      </c>
      <c r="AR6" s="3">
        <v>21.7</v>
      </c>
      <c r="AS6" s="18">
        <f t="shared" si="20"/>
        <v>51.7</v>
      </c>
      <c r="AT6" s="15" t="str">
        <f t="shared" si="21"/>
        <v>Beginner</v>
      </c>
      <c r="AU6" s="16" t="str">
        <f t="shared" si="22"/>
        <v>30th</v>
      </c>
      <c r="AV6" s="13">
        <v>25</v>
      </c>
      <c r="AW6" s="39">
        <v>31</v>
      </c>
      <c r="AX6" s="3">
        <v>21.7</v>
      </c>
      <c r="AY6" s="19">
        <v>46.7</v>
      </c>
      <c r="AZ6" s="15" t="str">
        <f t="shared" si="23"/>
        <v>Beginner</v>
      </c>
      <c r="BA6" s="16" t="str">
        <f t="shared" si="5"/>
        <v>30th</v>
      </c>
      <c r="BB6" s="13">
        <v>30</v>
      </c>
      <c r="BC6" s="4">
        <v>46</v>
      </c>
      <c r="BD6" s="3">
        <v>32.199999999999996</v>
      </c>
      <c r="BE6" s="19">
        <v>62.199999999999996</v>
      </c>
      <c r="BF6" s="15" t="str">
        <f t="shared" si="24"/>
        <v>Beginner</v>
      </c>
      <c r="BG6" s="16" t="str">
        <f t="shared" si="25"/>
        <v>26th</v>
      </c>
      <c r="BH6" s="6">
        <f t="shared" si="26"/>
        <v>487.2</v>
      </c>
      <c r="BI6" s="46" t="str">
        <f t="shared" si="27"/>
        <v>27th</v>
      </c>
    </row>
    <row r="7" spans="1:578" ht="20.25">
      <c r="A7" s="1" t="s">
        <v>30</v>
      </c>
      <c r="B7" s="13">
        <v>23</v>
      </c>
      <c r="C7" s="13">
        <f t="shared" si="6"/>
        <v>0</v>
      </c>
      <c r="D7" s="3">
        <v>0</v>
      </c>
      <c r="E7" s="14">
        <f t="shared" si="0"/>
        <v>23</v>
      </c>
      <c r="F7" s="15" t="str">
        <f t="shared" si="7"/>
        <v>Beginner</v>
      </c>
      <c r="G7" s="16" t="str">
        <f t="shared" si="8"/>
        <v>31st</v>
      </c>
      <c r="H7" s="13">
        <v>27</v>
      </c>
      <c r="I7" s="13">
        <v>100</v>
      </c>
      <c r="J7" s="3">
        <v>36</v>
      </c>
      <c r="K7" s="13">
        <f t="shared" si="9"/>
        <v>25.2</v>
      </c>
      <c r="L7" s="17">
        <f t="shared" si="1"/>
        <v>52.2</v>
      </c>
      <c r="M7" s="15" t="str">
        <f t="shared" si="10"/>
        <v>Beginner</v>
      </c>
      <c r="N7" s="16" t="str">
        <f t="shared" si="11"/>
        <v>26th</v>
      </c>
      <c r="O7" s="13">
        <v>22</v>
      </c>
      <c r="P7" s="13">
        <v>100</v>
      </c>
      <c r="Q7" s="3">
        <v>30</v>
      </c>
      <c r="R7" s="3">
        <v>21</v>
      </c>
      <c r="S7" s="17">
        <f t="shared" si="12"/>
        <v>43</v>
      </c>
      <c r="T7" s="15" t="str">
        <f t="shared" si="13"/>
        <v>Beginner</v>
      </c>
      <c r="U7" s="16" t="str">
        <f t="shared" si="2"/>
        <v>27th</v>
      </c>
      <c r="V7" s="3">
        <v>24</v>
      </c>
      <c r="W7" s="3">
        <v>100</v>
      </c>
      <c r="X7" s="3">
        <f t="shared" si="28"/>
        <v>19.599999999999998</v>
      </c>
      <c r="Y7" s="39">
        <v>28</v>
      </c>
      <c r="Z7" s="32">
        <f t="shared" si="29"/>
        <v>43.599999999999994</v>
      </c>
      <c r="AA7" s="42" t="str">
        <f t="shared" si="14"/>
        <v>Beginner</v>
      </c>
      <c r="AB7" s="16" t="str">
        <f t="shared" si="15"/>
        <v>28th</v>
      </c>
      <c r="AC7" s="13">
        <v>20</v>
      </c>
      <c r="AD7" s="13">
        <v>100</v>
      </c>
      <c r="AE7" s="3">
        <v>29</v>
      </c>
      <c r="AF7" s="13">
        <f t="shared" si="16"/>
        <v>20.299999999999997</v>
      </c>
      <c r="AG7" s="18">
        <f t="shared" si="17"/>
        <v>40.299999999999997</v>
      </c>
      <c r="AH7" s="15" t="str">
        <f t="shared" si="18"/>
        <v>Beginner</v>
      </c>
      <c r="AI7" s="16" t="str">
        <f t="shared" si="3"/>
        <v>27th</v>
      </c>
      <c r="AJ7" s="13">
        <v>30</v>
      </c>
      <c r="AK7" s="3">
        <v>82</v>
      </c>
      <c r="AL7" s="3">
        <v>57.4</v>
      </c>
      <c r="AM7" s="17">
        <v>87.4</v>
      </c>
      <c r="AN7" s="15" t="str">
        <f t="shared" si="19"/>
        <v>Advanced</v>
      </c>
      <c r="AO7" s="16" t="str">
        <f t="shared" si="4"/>
        <v>6th</v>
      </c>
      <c r="AP7" s="13">
        <v>30</v>
      </c>
      <c r="AQ7" s="3">
        <v>51</v>
      </c>
      <c r="AR7" s="3">
        <v>35.699999999999996</v>
      </c>
      <c r="AS7" s="18">
        <f t="shared" si="20"/>
        <v>65.699999999999989</v>
      </c>
      <c r="AT7" s="15" t="str">
        <f t="shared" si="21"/>
        <v>Developing</v>
      </c>
      <c r="AU7" s="16" t="str">
        <f t="shared" si="22"/>
        <v>17th</v>
      </c>
      <c r="AV7" s="13">
        <v>25</v>
      </c>
      <c r="AW7" s="39">
        <v>36</v>
      </c>
      <c r="AX7" s="3">
        <v>25.2</v>
      </c>
      <c r="AY7" s="19">
        <v>50.2</v>
      </c>
      <c r="AZ7" s="15" t="str">
        <f t="shared" si="23"/>
        <v>Beginner</v>
      </c>
      <c r="BA7" s="16" t="str">
        <f t="shared" si="5"/>
        <v>28th</v>
      </c>
      <c r="BB7" s="13">
        <v>30</v>
      </c>
      <c r="BC7" s="4">
        <v>32</v>
      </c>
      <c r="BD7" s="3">
        <v>22.4</v>
      </c>
      <c r="BE7" s="19">
        <v>52.4</v>
      </c>
      <c r="BF7" s="15" t="str">
        <f t="shared" si="24"/>
        <v>Beginner</v>
      </c>
      <c r="BG7" s="16" t="str">
        <f t="shared" si="25"/>
        <v>30th</v>
      </c>
      <c r="BH7" s="6">
        <f t="shared" si="26"/>
        <v>457.79999999999995</v>
      </c>
      <c r="BI7" s="46" t="str">
        <f t="shared" si="27"/>
        <v>30th</v>
      </c>
    </row>
    <row r="8" spans="1:578" ht="20.25">
      <c r="A8" s="1" t="s">
        <v>31</v>
      </c>
      <c r="B8" s="13">
        <v>25</v>
      </c>
      <c r="C8" s="13">
        <f t="shared" si="6"/>
        <v>38.5</v>
      </c>
      <c r="D8" s="3">
        <v>55</v>
      </c>
      <c r="E8" s="14">
        <f t="shared" si="0"/>
        <v>63.5</v>
      </c>
      <c r="F8" s="15" t="str">
        <f t="shared" si="7"/>
        <v>Beginner</v>
      </c>
      <c r="G8" s="16" t="str">
        <f t="shared" si="8"/>
        <v>11th</v>
      </c>
      <c r="H8" s="13">
        <v>28</v>
      </c>
      <c r="I8" s="13">
        <v>100</v>
      </c>
      <c r="J8" s="3">
        <v>51</v>
      </c>
      <c r="K8" s="13">
        <f t="shared" si="9"/>
        <v>35.699999999999996</v>
      </c>
      <c r="L8" s="17">
        <f t="shared" si="1"/>
        <v>63.699999999999996</v>
      </c>
      <c r="M8" s="15" t="str">
        <f t="shared" si="10"/>
        <v>Beginner</v>
      </c>
      <c r="N8" s="16" t="str">
        <f t="shared" si="11"/>
        <v>13th</v>
      </c>
      <c r="O8" s="13">
        <v>15</v>
      </c>
      <c r="P8" s="13">
        <v>100</v>
      </c>
      <c r="Q8" s="3">
        <v>45</v>
      </c>
      <c r="R8" s="3">
        <v>31.499999999999996</v>
      </c>
      <c r="S8" s="17">
        <f t="shared" si="12"/>
        <v>46.5</v>
      </c>
      <c r="T8" s="15" t="str">
        <f t="shared" si="13"/>
        <v>Beginner</v>
      </c>
      <c r="U8" s="16" t="str">
        <f t="shared" si="2"/>
        <v>23rd</v>
      </c>
      <c r="V8" s="3">
        <v>29</v>
      </c>
      <c r="W8" s="3">
        <v>100</v>
      </c>
      <c r="X8" s="3">
        <f t="shared" si="28"/>
        <v>28.7</v>
      </c>
      <c r="Y8" s="39">
        <v>41</v>
      </c>
      <c r="Z8" s="32">
        <f t="shared" si="29"/>
        <v>57.7</v>
      </c>
      <c r="AA8" s="42" t="str">
        <f t="shared" si="14"/>
        <v>Beginner</v>
      </c>
      <c r="AB8" s="16" t="str">
        <f t="shared" si="15"/>
        <v>18th</v>
      </c>
      <c r="AC8" s="13">
        <v>30</v>
      </c>
      <c r="AD8" s="13">
        <v>100</v>
      </c>
      <c r="AE8" s="3">
        <v>36</v>
      </c>
      <c r="AF8" s="13">
        <f t="shared" si="16"/>
        <v>25.2</v>
      </c>
      <c r="AG8" s="18">
        <f t="shared" si="17"/>
        <v>55.2</v>
      </c>
      <c r="AH8" s="15" t="str">
        <f t="shared" si="18"/>
        <v>Beginner</v>
      </c>
      <c r="AI8" s="16" t="str">
        <f t="shared" si="3"/>
        <v>17th</v>
      </c>
      <c r="AJ8" s="13">
        <v>30</v>
      </c>
      <c r="AK8" s="3">
        <v>84</v>
      </c>
      <c r="AL8" s="3">
        <v>58.8</v>
      </c>
      <c r="AM8" s="17">
        <v>88.8</v>
      </c>
      <c r="AN8" s="15" t="str">
        <f t="shared" si="19"/>
        <v>Advanced</v>
      </c>
      <c r="AO8" s="16" t="str">
        <f t="shared" si="4"/>
        <v>4th</v>
      </c>
      <c r="AP8" s="13">
        <v>30</v>
      </c>
      <c r="AQ8" s="3">
        <v>50</v>
      </c>
      <c r="AR8" s="3">
        <v>35</v>
      </c>
      <c r="AS8" s="18">
        <f t="shared" si="20"/>
        <v>65</v>
      </c>
      <c r="AT8" s="15" t="str">
        <f t="shared" si="21"/>
        <v>Developing</v>
      </c>
      <c r="AU8" s="16" t="str">
        <f t="shared" si="22"/>
        <v>18th</v>
      </c>
      <c r="AV8" s="13">
        <v>26</v>
      </c>
      <c r="AW8" s="39">
        <v>71</v>
      </c>
      <c r="AX8" s="3">
        <v>49.699999999999996</v>
      </c>
      <c r="AY8" s="19">
        <v>75.699999999999989</v>
      </c>
      <c r="AZ8" s="15" t="str">
        <f t="shared" si="23"/>
        <v>Proficiency</v>
      </c>
      <c r="BA8" s="16" t="str">
        <f t="shared" si="5"/>
        <v>13th</v>
      </c>
      <c r="BB8" s="13">
        <v>30</v>
      </c>
      <c r="BC8" s="4">
        <v>56</v>
      </c>
      <c r="BD8" s="3">
        <v>39.199999999999996</v>
      </c>
      <c r="BE8" s="19">
        <v>69.199999999999989</v>
      </c>
      <c r="BF8" s="15" t="str">
        <f t="shared" si="24"/>
        <v>Developing</v>
      </c>
      <c r="BG8" s="16" t="str">
        <f t="shared" si="25"/>
        <v>18th</v>
      </c>
      <c r="BH8" s="6">
        <f t="shared" si="26"/>
        <v>585.29999999999995</v>
      </c>
      <c r="BI8" s="46" t="str">
        <f t="shared" si="27"/>
        <v>12th</v>
      </c>
    </row>
    <row r="9" spans="1:578" ht="20.25">
      <c r="A9" s="1" t="s">
        <v>18</v>
      </c>
      <c r="B9" s="13">
        <v>26</v>
      </c>
      <c r="C9" s="13">
        <f t="shared" si="6"/>
        <v>70</v>
      </c>
      <c r="D9" s="3">
        <v>100</v>
      </c>
      <c r="E9" s="14">
        <f t="shared" si="0"/>
        <v>96</v>
      </c>
      <c r="F9" s="15" t="str">
        <f t="shared" si="7"/>
        <v>Advanced</v>
      </c>
      <c r="G9" s="16" t="str">
        <f t="shared" si="8"/>
        <v>1st</v>
      </c>
      <c r="H9" s="13">
        <v>29</v>
      </c>
      <c r="I9" s="13">
        <v>100</v>
      </c>
      <c r="J9" s="3">
        <v>73</v>
      </c>
      <c r="K9" s="13">
        <f t="shared" si="9"/>
        <v>51.099999999999994</v>
      </c>
      <c r="L9" s="17">
        <f t="shared" si="1"/>
        <v>80.099999999999994</v>
      </c>
      <c r="M9" s="15" t="str">
        <f t="shared" si="10"/>
        <v>Advanced</v>
      </c>
      <c r="N9" s="16" t="str">
        <f t="shared" si="11"/>
        <v>6th</v>
      </c>
      <c r="O9" s="13">
        <v>30</v>
      </c>
      <c r="P9" s="13">
        <v>100</v>
      </c>
      <c r="Q9" s="3">
        <v>72</v>
      </c>
      <c r="R9" s="3">
        <v>50.4</v>
      </c>
      <c r="S9" s="17">
        <f t="shared" si="12"/>
        <v>80.400000000000006</v>
      </c>
      <c r="T9" s="15" t="str">
        <f t="shared" si="13"/>
        <v>Advanced</v>
      </c>
      <c r="U9" s="16" t="str">
        <f t="shared" si="2"/>
        <v>3rd</v>
      </c>
      <c r="V9" s="3">
        <v>30</v>
      </c>
      <c r="W9" s="3">
        <v>100</v>
      </c>
      <c r="X9" s="3">
        <f t="shared" si="28"/>
        <v>56</v>
      </c>
      <c r="Y9" s="39">
        <v>80</v>
      </c>
      <c r="Z9" s="32">
        <f t="shared" si="29"/>
        <v>86</v>
      </c>
      <c r="AA9" s="42" t="str">
        <f t="shared" si="14"/>
        <v>Advanced</v>
      </c>
      <c r="AB9" s="16" t="str">
        <f t="shared" si="15"/>
        <v>4th</v>
      </c>
      <c r="AC9" s="13">
        <v>30</v>
      </c>
      <c r="AD9" s="13">
        <v>100</v>
      </c>
      <c r="AE9" s="3">
        <v>71</v>
      </c>
      <c r="AF9" s="13">
        <f t="shared" si="16"/>
        <v>49.699999999999996</v>
      </c>
      <c r="AG9" s="18">
        <f t="shared" si="17"/>
        <v>79.699999999999989</v>
      </c>
      <c r="AH9" s="15" t="str">
        <f t="shared" si="18"/>
        <v>Proficiency</v>
      </c>
      <c r="AI9" s="16" t="str">
        <f t="shared" si="3"/>
        <v>6th</v>
      </c>
      <c r="AJ9" s="13">
        <v>30</v>
      </c>
      <c r="AK9" s="3">
        <v>91</v>
      </c>
      <c r="AL9" s="3">
        <v>63.699999999999996</v>
      </c>
      <c r="AM9" s="17">
        <v>93.699999999999989</v>
      </c>
      <c r="AN9" s="15" t="str">
        <f t="shared" si="19"/>
        <v>Advanced</v>
      </c>
      <c r="AO9" s="16" t="str">
        <f t="shared" si="4"/>
        <v>1st</v>
      </c>
      <c r="AP9" s="13">
        <v>30</v>
      </c>
      <c r="AQ9" s="3">
        <v>84</v>
      </c>
      <c r="AR9" s="3">
        <v>58.8</v>
      </c>
      <c r="AS9" s="18">
        <f t="shared" si="20"/>
        <v>88.8</v>
      </c>
      <c r="AT9" s="15" t="str">
        <f t="shared" si="21"/>
        <v>Advanced</v>
      </c>
      <c r="AU9" s="16" t="str">
        <f t="shared" si="22"/>
        <v>3rd</v>
      </c>
      <c r="AV9" s="13">
        <v>28</v>
      </c>
      <c r="AW9" s="39">
        <v>96</v>
      </c>
      <c r="AX9" s="3">
        <v>67.199999999999989</v>
      </c>
      <c r="AY9" s="19">
        <v>95.199999999999989</v>
      </c>
      <c r="AZ9" s="15" t="str">
        <f t="shared" si="23"/>
        <v>Advanced</v>
      </c>
      <c r="BA9" s="16" t="str">
        <f t="shared" si="5"/>
        <v>1st</v>
      </c>
      <c r="BB9" s="13">
        <v>30</v>
      </c>
      <c r="BC9" s="4">
        <v>81</v>
      </c>
      <c r="BD9" s="3">
        <v>56.699999999999996</v>
      </c>
      <c r="BE9" s="19">
        <v>86.699999999999989</v>
      </c>
      <c r="BF9" s="15" t="str">
        <f t="shared" si="24"/>
        <v>Advanced</v>
      </c>
      <c r="BG9" s="16" t="str">
        <f t="shared" si="25"/>
        <v>2nd</v>
      </c>
      <c r="BH9" s="6">
        <f t="shared" si="26"/>
        <v>786.59999999999991</v>
      </c>
      <c r="BI9" s="46" t="str">
        <f t="shared" si="27"/>
        <v>2nd</v>
      </c>
    </row>
    <row r="10" spans="1:578" ht="20.25">
      <c r="A10" s="1" t="s">
        <v>32</v>
      </c>
      <c r="B10" s="13">
        <v>26</v>
      </c>
      <c r="C10" s="13">
        <f t="shared" si="6"/>
        <v>66.5</v>
      </c>
      <c r="D10" s="3">
        <v>95</v>
      </c>
      <c r="E10" s="14">
        <f t="shared" si="0"/>
        <v>92.5</v>
      </c>
      <c r="F10" s="15" t="str">
        <f t="shared" si="7"/>
        <v>Advanced</v>
      </c>
      <c r="G10" s="16" t="str">
        <f t="shared" si="8"/>
        <v>3rd</v>
      </c>
      <c r="H10" s="13">
        <v>29</v>
      </c>
      <c r="I10" s="13">
        <v>100</v>
      </c>
      <c r="J10" s="3">
        <v>92</v>
      </c>
      <c r="K10" s="13">
        <f t="shared" si="9"/>
        <v>64.399999999999991</v>
      </c>
      <c r="L10" s="17">
        <f t="shared" si="1"/>
        <v>93.399999999999991</v>
      </c>
      <c r="M10" s="15" t="str">
        <f t="shared" si="10"/>
        <v>Advanced</v>
      </c>
      <c r="N10" s="16" t="str">
        <f t="shared" si="11"/>
        <v>1st</v>
      </c>
      <c r="O10" s="13">
        <v>30</v>
      </c>
      <c r="P10" s="13">
        <v>100</v>
      </c>
      <c r="Q10" s="34">
        <v>68</v>
      </c>
      <c r="R10" s="3">
        <v>47.599999999999994</v>
      </c>
      <c r="S10" s="17">
        <f t="shared" si="12"/>
        <v>77.599999999999994</v>
      </c>
      <c r="T10" s="15" t="str">
        <f t="shared" si="13"/>
        <v>Proficiency</v>
      </c>
      <c r="U10" s="16" t="str">
        <f t="shared" si="2"/>
        <v>6th</v>
      </c>
      <c r="V10" s="3">
        <v>30</v>
      </c>
      <c r="W10" s="3">
        <v>100</v>
      </c>
      <c r="X10" s="3">
        <f t="shared" si="28"/>
        <v>57.4</v>
      </c>
      <c r="Y10" s="39">
        <v>82</v>
      </c>
      <c r="Z10" s="32">
        <f t="shared" si="29"/>
        <v>87.4</v>
      </c>
      <c r="AA10" s="42" t="str">
        <f t="shared" si="14"/>
        <v>Advanced</v>
      </c>
      <c r="AB10" s="16" t="str">
        <f t="shared" si="15"/>
        <v>2nd</v>
      </c>
      <c r="AC10" s="13">
        <v>30</v>
      </c>
      <c r="AD10" s="13">
        <v>100</v>
      </c>
      <c r="AE10" s="3">
        <v>74</v>
      </c>
      <c r="AF10" s="13">
        <f t="shared" si="16"/>
        <v>51.8</v>
      </c>
      <c r="AG10" s="18">
        <f t="shared" si="17"/>
        <v>81.8</v>
      </c>
      <c r="AH10" s="15" t="str">
        <f t="shared" si="18"/>
        <v>Advanced</v>
      </c>
      <c r="AI10" s="16" t="str">
        <f t="shared" si="3"/>
        <v>4th</v>
      </c>
      <c r="AJ10" s="13">
        <v>30</v>
      </c>
      <c r="AK10" s="3">
        <v>88</v>
      </c>
      <c r="AL10" s="3">
        <v>61.599999999999994</v>
      </c>
      <c r="AM10" s="17">
        <v>91.6</v>
      </c>
      <c r="AN10" s="15" t="str">
        <f t="shared" si="19"/>
        <v>Advanced</v>
      </c>
      <c r="AO10" s="16" t="str">
        <f t="shared" si="4"/>
        <v>2nd</v>
      </c>
      <c r="AP10" s="13">
        <v>30</v>
      </c>
      <c r="AQ10" s="3">
        <v>94</v>
      </c>
      <c r="AR10" s="3">
        <v>65.8</v>
      </c>
      <c r="AS10" s="18">
        <f>AP10+AR10</f>
        <v>95.8</v>
      </c>
      <c r="AT10" s="15" t="str">
        <f t="shared" si="21"/>
        <v>Advanced</v>
      </c>
      <c r="AU10" s="16" t="str">
        <f t="shared" si="22"/>
        <v>1st</v>
      </c>
      <c r="AV10" s="13">
        <v>28</v>
      </c>
      <c r="AW10" s="39">
        <v>96</v>
      </c>
      <c r="AX10" s="3">
        <v>67.199999999999989</v>
      </c>
      <c r="AY10" s="19">
        <v>95.199999999999989</v>
      </c>
      <c r="AZ10" s="15" t="str">
        <f t="shared" si="23"/>
        <v>Advanced</v>
      </c>
      <c r="BA10" s="16" t="str">
        <f t="shared" si="5"/>
        <v>1st</v>
      </c>
      <c r="BB10" s="13">
        <v>30</v>
      </c>
      <c r="BC10" s="4">
        <v>83</v>
      </c>
      <c r="BD10" s="3">
        <v>58.099999999999994</v>
      </c>
      <c r="BE10" s="19">
        <v>88.1</v>
      </c>
      <c r="BF10" s="15" t="str">
        <f t="shared" si="24"/>
        <v>Advanced</v>
      </c>
      <c r="BG10" s="16" t="str">
        <f t="shared" si="25"/>
        <v>1st</v>
      </c>
      <c r="BH10" s="6">
        <f t="shared" si="26"/>
        <v>803.39999999999986</v>
      </c>
      <c r="BI10" s="46" t="str">
        <f t="shared" si="27"/>
        <v>1st</v>
      </c>
    </row>
    <row r="11" spans="1:578" ht="20.25">
      <c r="A11" s="1" t="s">
        <v>33</v>
      </c>
      <c r="B11" s="13">
        <v>26</v>
      </c>
      <c r="C11" s="13">
        <f t="shared" si="6"/>
        <v>70</v>
      </c>
      <c r="D11" s="3">
        <v>100</v>
      </c>
      <c r="E11" s="14">
        <f t="shared" si="0"/>
        <v>96</v>
      </c>
      <c r="F11" s="15" t="str">
        <f t="shared" si="7"/>
        <v>Advanced</v>
      </c>
      <c r="G11" s="16" t="str">
        <f t="shared" si="8"/>
        <v>1st</v>
      </c>
      <c r="H11" s="13">
        <v>29</v>
      </c>
      <c r="I11" s="13">
        <v>100</v>
      </c>
      <c r="J11" s="3">
        <v>79</v>
      </c>
      <c r="K11" s="13">
        <f t="shared" si="9"/>
        <v>55.3</v>
      </c>
      <c r="L11" s="17">
        <f t="shared" si="1"/>
        <v>84.3</v>
      </c>
      <c r="M11" s="15" t="str">
        <f t="shared" si="10"/>
        <v>Advanced</v>
      </c>
      <c r="N11" s="16" t="str">
        <f t="shared" si="11"/>
        <v>3rd</v>
      </c>
      <c r="O11" s="13">
        <v>30</v>
      </c>
      <c r="P11" s="13">
        <v>100</v>
      </c>
      <c r="Q11" s="3">
        <v>78</v>
      </c>
      <c r="R11" s="3">
        <v>54.599999999999994</v>
      </c>
      <c r="S11" s="17">
        <f t="shared" si="12"/>
        <v>84.6</v>
      </c>
      <c r="T11" s="15" t="str">
        <f t="shared" si="13"/>
        <v>Advanced</v>
      </c>
      <c r="U11" s="16" t="str">
        <f t="shared" si="2"/>
        <v>2nd</v>
      </c>
      <c r="V11" s="3">
        <v>30</v>
      </c>
      <c r="W11" s="3">
        <v>100</v>
      </c>
      <c r="X11" s="3">
        <f t="shared" si="28"/>
        <v>58.8</v>
      </c>
      <c r="Y11" s="39">
        <v>84</v>
      </c>
      <c r="Z11" s="32">
        <f t="shared" si="29"/>
        <v>88.8</v>
      </c>
      <c r="AA11" s="42" t="str">
        <f t="shared" si="14"/>
        <v>Advanced</v>
      </c>
      <c r="AB11" s="16" t="str">
        <f t="shared" si="15"/>
        <v>1st</v>
      </c>
      <c r="AC11" s="13">
        <v>30</v>
      </c>
      <c r="AD11" s="13">
        <v>100</v>
      </c>
      <c r="AE11" s="3">
        <v>71</v>
      </c>
      <c r="AF11" s="13">
        <f t="shared" si="16"/>
        <v>49.699999999999996</v>
      </c>
      <c r="AG11" s="18">
        <f t="shared" si="17"/>
        <v>79.699999999999989</v>
      </c>
      <c r="AH11" s="15" t="str">
        <f t="shared" si="18"/>
        <v>Proficiency</v>
      </c>
      <c r="AI11" s="16" t="str">
        <f t="shared" si="3"/>
        <v>6th</v>
      </c>
      <c r="AJ11" s="13">
        <v>30</v>
      </c>
      <c r="AK11" s="3">
        <v>82</v>
      </c>
      <c r="AL11" s="3">
        <v>57.4</v>
      </c>
      <c r="AM11" s="17">
        <v>87.4</v>
      </c>
      <c r="AN11" s="15" t="str">
        <f t="shared" si="19"/>
        <v>Advanced</v>
      </c>
      <c r="AO11" s="16" t="str">
        <f t="shared" si="4"/>
        <v>6th</v>
      </c>
      <c r="AP11" s="13">
        <v>30</v>
      </c>
      <c r="AQ11" s="3">
        <v>82</v>
      </c>
      <c r="AR11" s="3">
        <v>57.4</v>
      </c>
      <c r="AS11" s="18">
        <f t="shared" ref="AS11:AS16" si="30">AP11+AR11</f>
        <v>87.4</v>
      </c>
      <c r="AT11" s="15" t="str">
        <f t="shared" si="21"/>
        <v>Advanced</v>
      </c>
      <c r="AU11" s="16" t="str">
        <f t="shared" si="22"/>
        <v>4th</v>
      </c>
      <c r="AV11" s="13">
        <v>28</v>
      </c>
      <c r="AW11" s="39">
        <v>79</v>
      </c>
      <c r="AX11" s="3">
        <v>55.3</v>
      </c>
      <c r="AY11" s="19">
        <v>83.3</v>
      </c>
      <c r="AZ11" s="15" t="str">
        <f t="shared" si="23"/>
        <v>Advanced</v>
      </c>
      <c r="BA11" s="16" t="str">
        <f t="shared" si="5"/>
        <v>5th</v>
      </c>
      <c r="BB11" s="13">
        <v>30</v>
      </c>
      <c r="BC11" s="4">
        <v>80</v>
      </c>
      <c r="BD11" s="3">
        <v>56</v>
      </c>
      <c r="BE11" s="19">
        <v>86</v>
      </c>
      <c r="BF11" s="15" t="str">
        <f t="shared" si="24"/>
        <v>Advanced</v>
      </c>
      <c r="BG11" s="16" t="str">
        <f t="shared" si="25"/>
        <v>3rd</v>
      </c>
      <c r="BH11" s="6">
        <f t="shared" si="26"/>
        <v>777.49999999999989</v>
      </c>
      <c r="BI11" s="46" t="str">
        <f t="shared" si="27"/>
        <v>3rd</v>
      </c>
    </row>
    <row r="12" spans="1:578" ht="20.25">
      <c r="A12" s="1" t="s">
        <v>19</v>
      </c>
      <c r="B12" s="13">
        <v>26</v>
      </c>
      <c r="C12" s="13">
        <f t="shared" si="6"/>
        <v>66.5</v>
      </c>
      <c r="D12" s="3">
        <v>95</v>
      </c>
      <c r="E12" s="14">
        <f t="shared" si="0"/>
        <v>92.5</v>
      </c>
      <c r="F12" s="15" t="str">
        <f t="shared" si="7"/>
        <v>Advanced</v>
      </c>
      <c r="G12" s="16" t="str">
        <f t="shared" si="8"/>
        <v>3rd</v>
      </c>
      <c r="H12" s="13">
        <v>29</v>
      </c>
      <c r="I12" s="13">
        <v>100</v>
      </c>
      <c r="J12" s="3">
        <v>80</v>
      </c>
      <c r="K12" s="13">
        <f t="shared" si="9"/>
        <v>56</v>
      </c>
      <c r="L12" s="17">
        <f t="shared" si="1"/>
        <v>85</v>
      </c>
      <c r="M12" s="15" t="str">
        <f t="shared" si="10"/>
        <v>Advanced</v>
      </c>
      <c r="N12" s="16" t="str">
        <f t="shared" si="11"/>
        <v>2nd</v>
      </c>
      <c r="O12" s="13">
        <v>30</v>
      </c>
      <c r="P12" s="13">
        <v>100</v>
      </c>
      <c r="Q12" s="3">
        <v>61</v>
      </c>
      <c r="R12" s="3">
        <v>42.699999999999996</v>
      </c>
      <c r="S12" s="17">
        <f>O12+R12</f>
        <v>72.699999999999989</v>
      </c>
      <c r="T12" s="15" t="str">
        <f t="shared" si="13"/>
        <v>AP</v>
      </c>
      <c r="U12" s="16" t="str">
        <f t="shared" si="2"/>
        <v>8th</v>
      </c>
      <c r="V12" s="3">
        <v>29</v>
      </c>
      <c r="W12" s="3">
        <v>100</v>
      </c>
      <c r="X12" s="3">
        <f t="shared" si="28"/>
        <v>51.8</v>
      </c>
      <c r="Y12" s="39">
        <v>74</v>
      </c>
      <c r="Z12" s="32">
        <f t="shared" si="29"/>
        <v>80.8</v>
      </c>
      <c r="AA12" s="42" t="str">
        <f t="shared" si="14"/>
        <v>Advanced</v>
      </c>
      <c r="AB12" s="16" t="str">
        <f t="shared" si="15"/>
        <v>6th</v>
      </c>
      <c r="AC12" s="13">
        <v>30</v>
      </c>
      <c r="AD12" s="13">
        <v>100</v>
      </c>
      <c r="AE12" s="3">
        <v>54</v>
      </c>
      <c r="AF12" s="13">
        <f t="shared" si="16"/>
        <v>37.799999999999997</v>
      </c>
      <c r="AG12" s="18">
        <f t="shared" si="17"/>
        <v>67.8</v>
      </c>
      <c r="AH12" s="15" t="str">
        <f t="shared" si="18"/>
        <v>Developing</v>
      </c>
      <c r="AI12" s="16" t="str">
        <f t="shared" si="3"/>
        <v>10th</v>
      </c>
      <c r="AJ12" s="13">
        <v>30</v>
      </c>
      <c r="AK12" s="3">
        <v>80</v>
      </c>
      <c r="AL12" s="3">
        <v>56</v>
      </c>
      <c r="AM12" s="17">
        <v>86</v>
      </c>
      <c r="AN12" s="15" t="str">
        <f t="shared" si="19"/>
        <v>Advanced</v>
      </c>
      <c r="AO12" s="16" t="str">
        <f t="shared" si="4"/>
        <v>10th</v>
      </c>
      <c r="AP12" s="13">
        <v>30</v>
      </c>
      <c r="AQ12" s="3">
        <v>82</v>
      </c>
      <c r="AR12" s="3">
        <v>57.4</v>
      </c>
      <c r="AS12" s="18">
        <f t="shared" si="30"/>
        <v>87.4</v>
      </c>
      <c r="AT12" s="15" t="str">
        <f t="shared" si="21"/>
        <v>Advanced</v>
      </c>
      <c r="AU12" s="16" t="str">
        <f t="shared" si="22"/>
        <v>4th</v>
      </c>
      <c r="AV12" s="13">
        <v>28</v>
      </c>
      <c r="AW12" s="39">
        <v>79</v>
      </c>
      <c r="AX12" s="3">
        <v>55.3</v>
      </c>
      <c r="AY12" s="19">
        <v>83.3</v>
      </c>
      <c r="AZ12" s="15" t="str">
        <f t="shared" si="23"/>
        <v>Advanced</v>
      </c>
      <c r="BA12" s="16" t="str">
        <f t="shared" si="5"/>
        <v>5th</v>
      </c>
      <c r="BB12" s="13">
        <v>30</v>
      </c>
      <c r="BC12" s="4">
        <v>65</v>
      </c>
      <c r="BD12" s="3">
        <v>45.5</v>
      </c>
      <c r="BE12" s="19">
        <v>75.5</v>
      </c>
      <c r="BF12" s="15" t="str">
        <f t="shared" si="24"/>
        <v>Proficiency</v>
      </c>
      <c r="BG12" s="16" t="str">
        <f t="shared" si="25"/>
        <v>7th</v>
      </c>
      <c r="BH12" s="6">
        <f t="shared" si="26"/>
        <v>731</v>
      </c>
      <c r="BI12" s="46" t="str">
        <f t="shared" si="27"/>
        <v>7th</v>
      </c>
    </row>
    <row r="13" spans="1:578" ht="20.25">
      <c r="A13" s="1" t="s">
        <v>34</v>
      </c>
      <c r="B13" s="13">
        <v>24</v>
      </c>
      <c r="C13" s="13">
        <f t="shared" si="6"/>
        <v>17.5</v>
      </c>
      <c r="D13" s="3">
        <v>25</v>
      </c>
      <c r="E13" s="14">
        <f t="shared" si="0"/>
        <v>41.5</v>
      </c>
      <c r="F13" s="15" t="str">
        <f t="shared" si="7"/>
        <v>Beginner</v>
      </c>
      <c r="G13" s="16" t="str">
        <f t="shared" si="8"/>
        <v>20th</v>
      </c>
      <c r="H13" s="13">
        <v>28</v>
      </c>
      <c r="I13" s="13">
        <v>100</v>
      </c>
      <c r="J13" s="3">
        <v>40</v>
      </c>
      <c r="K13" s="13">
        <f t="shared" si="9"/>
        <v>28</v>
      </c>
      <c r="L13" s="17">
        <f t="shared" si="1"/>
        <v>56</v>
      </c>
      <c r="M13" s="15" t="str">
        <f t="shared" si="10"/>
        <v>Beginner</v>
      </c>
      <c r="N13" s="16" t="str">
        <f t="shared" si="11"/>
        <v>21st</v>
      </c>
      <c r="O13" s="13">
        <v>27</v>
      </c>
      <c r="P13" s="13">
        <v>100</v>
      </c>
      <c r="Q13" s="3">
        <v>35</v>
      </c>
      <c r="R13" s="3">
        <v>24.5</v>
      </c>
      <c r="S13" s="17">
        <f t="shared" si="12"/>
        <v>51.5</v>
      </c>
      <c r="T13" s="15" t="str">
        <f t="shared" si="13"/>
        <v>Beginner</v>
      </c>
      <c r="U13" s="16" t="str">
        <f t="shared" si="2"/>
        <v>20th</v>
      </c>
      <c r="V13" s="3">
        <v>28</v>
      </c>
      <c r="W13" s="3">
        <v>100</v>
      </c>
      <c r="X13" s="3">
        <f t="shared" si="28"/>
        <v>39.199999999999996</v>
      </c>
      <c r="Y13" s="39">
        <v>56</v>
      </c>
      <c r="Z13" s="32">
        <f t="shared" si="29"/>
        <v>67.199999999999989</v>
      </c>
      <c r="AA13" s="42" t="str">
        <f t="shared" si="14"/>
        <v>Developing</v>
      </c>
      <c r="AB13" s="16" t="str">
        <f t="shared" si="15"/>
        <v>12th</v>
      </c>
      <c r="AC13" s="13">
        <v>30</v>
      </c>
      <c r="AD13" s="13">
        <v>100</v>
      </c>
      <c r="AE13" s="3">
        <v>37</v>
      </c>
      <c r="AF13" s="13">
        <f t="shared" si="16"/>
        <v>25.9</v>
      </c>
      <c r="AG13" s="18">
        <f t="shared" si="17"/>
        <v>55.9</v>
      </c>
      <c r="AH13" s="15" t="str">
        <f t="shared" si="18"/>
        <v>Beginner</v>
      </c>
      <c r="AI13" s="16" t="str">
        <f t="shared" si="3"/>
        <v>16th</v>
      </c>
      <c r="AJ13" s="13">
        <v>30</v>
      </c>
      <c r="AK13" s="3">
        <v>85</v>
      </c>
      <c r="AL13" s="3">
        <v>59.499999999999993</v>
      </c>
      <c r="AM13" s="17">
        <v>89.5</v>
      </c>
      <c r="AN13" s="15" t="str">
        <f t="shared" si="19"/>
        <v>Advanced</v>
      </c>
      <c r="AO13" s="16" t="str">
        <f t="shared" si="4"/>
        <v>3rd</v>
      </c>
      <c r="AP13" s="13">
        <v>30</v>
      </c>
      <c r="AQ13" s="3">
        <v>33</v>
      </c>
      <c r="AR13" s="3">
        <v>23.099999999999998</v>
      </c>
      <c r="AS13" s="18">
        <f t="shared" si="30"/>
        <v>53.099999999999994</v>
      </c>
      <c r="AT13" s="15" t="str">
        <f t="shared" si="21"/>
        <v>Beginner</v>
      </c>
      <c r="AU13" s="16" t="str">
        <f t="shared" si="22"/>
        <v>29th</v>
      </c>
      <c r="AV13" s="13">
        <v>27</v>
      </c>
      <c r="AW13" s="39">
        <v>47</v>
      </c>
      <c r="AX13" s="3">
        <v>32.9</v>
      </c>
      <c r="AY13" s="19">
        <v>59.9</v>
      </c>
      <c r="AZ13" s="15" t="str">
        <f t="shared" si="23"/>
        <v>Beginner</v>
      </c>
      <c r="BA13" s="16" t="str">
        <f t="shared" si="5"/>
        <v>19th</v>
      </c>
      <c r="BB13" s="13">
        <v>30</v>
      </c>
      <c r="BC13" s="4">
        <v>64</v>
      </c>
      <c r="BD13" s="3">
        <v>44.8</v>
      </c>
      <c r="BE13" s="19">
        <v>74.8</v>
      </c>
      <c r="BF13" s="15" t="str">
        <f t="shared" si="24"/>
        <v>AP</v>
      </c>
      <c r="BG13" s="16" t="str">
        <f t="shared" si="25"/>
        <v>8th</v>
      </c>
      <c r="BH13" s="6">
        <f t="shared" si="26"/>
        <v>549.4</v>
      </c>
      <c r="BI13" s="46" t="str">
        <f t="shared" si="27"/>
        <v>18th</v>
      </c>
    </row>
    <row r="14" spans="1:578" ht="20.25">
      <c r="A14" s="1" t="s">
        <v>35</v>
      </c>
      <c r="B14" s="13">
        <v>24</v>
      </c>
      <c r="C14" s="13">
        <f t="shared" si="6"/>
        <v>56</v>
      </c>
      <c r="D14" s="3">
        <v>80</v>
      </c>
      <c r="E14" s="14">
        <f t="shared" si="0"/>
        <v>80</v>
      </c>
      <c r="F14" s="15" t="str">
        <f t="shared" si="7"/>
        <v>Advanced</v>
      </c>
      <c r="G14" s="16" t="str">
        <f t="shared" si="8"/>
        <v>6th</v>
      </c>
      <c r="H14" s="13">
        <v>25</v>
      </c>
      <c r="I14" s="13">
        <v>100</v>
      </c>
      <c r="J14" s="3">
        <v>63</v>
      </c>
      <c r="K14" s="13">
        <f t="shared" si="9"/>
        <v>44.099999999999994</v>
      </c>
      <c r="L14" s="17">
        <f t="shared" si="1"/>
        <v>69.099999999999994</v>
      </c>
      <c r="M14" s="15" t="str">
        <f t="shared" si="10"/>
        <v>Developing</v>
      </c>
      <c r="N14" s="16" t="str">
        <f t="shared" si="11"/>
        <v>10th</v>
      </c>
      <c r="O14" s="13">
        <v>30</v>
      </c>
      <c r="P14" s="13">
        <v>100</v>
      </c>
      <c r="Q14" s="3">
        <v>60</v>
      </c>
      <c r="R14" s="3">
        <v>42</v>
      </c>
      <c r="S14" s="17">
        <f t="shared" si="12"/>
        <v>72</v>
      </c>
      <c r="T14" s="15" t="str">
        <f t="shared" si="13"/>
        <v>AP</v>
      </c>
      <c r="U14" s="16" t="str">
        <f t="shared" si="2"/>
        <v>9th</v>
      </c>
      <c r="V14" s="3">
        <v>15</v>
      </c>
      <c r="W14" s="3">
        <v>100</v>
      </c>
      <c r="X14" s="3">
        <f t="shared" si="28"/>
        <v>42</v>
      </c>
      <c r="Y14" s="39">
        <v>60</v>
      </c>
      <c r="Z14" s="32">
        <f t="shared" si="29"/>
        <v>57</v>
      </c>
      <c r="AA14" s="42" t="str">
        <f t="shared" si="14"/>
        <v>Beginner</v>
      </c>
      <c r="AB14" s="16" t="str">
        <f t="shared" si="15"/>
        <v>19th</v>
      </c>
      <c r="AC14" s="13">
        <v>30</v>
      </c>
      <c r="AD14" s="13">
        <v>100</v>
      </c>
      <c r="AE14" s="3">
        <v>77</v>
      </c>
      <c r="AF14" s="13">
        <f t="shared" si="16"/>
        <v>53.9</v>
      </c>
      <c r="AG14" s="18">
        <f t="shared" si="17"/>
        <v>83.9</v>
      </c>
      <c r="AH14" s="15" t="str">
        <f t="shared" si="18"/>
        <v>Advanced</v>
      </c>
      <c r="AI14" s="16" t="str">
        <f t="shared" si="3"/>
        <v>3rd</v>
      </c>
      <c r="AJ14" s="13">
        <v>30</v>
      </c>
      <c r="AK14" s="3">
        <v>82</v>
      </c>
      <c r="AL14" s="3">
        <v>57.4</v>
      </c>
      <c r="AM14" s="17">
        <v>87.4</v>
      </c>
      <c r="AN14" s="15" t="str">
        <f t="shared" si="19"/>
        <v>Advanced</v>
      </c>
      <c r="AO14" s="16" t="str">
        <f t="shared" si="4"/>
        <v>6th</v>
      </c>
      <c r="AP14" s="13">
        <v>30</v>
      </c>
      <c r="AQ14" s="3">
        <v>66</v>
      </c>
      <c r="AR14" s="3">
        <v>46.199999999999996</v>
      </c>
      <c r="AS14" s="18">
        <f t="shared" si="30"/>
        <v>76.199999999999989</v>
      </c>
      <c r="AT14" s="15" t="str">
        <f t="shared" si="21"/>
        <v>Proficiency</v>
      </c>
      <c r="AU14" s="16" t="str">
        <f t="shared" si="22"/>
        <v>9th</v>
      </c>
      <c r="AV14" s="13">
        <v>27</v>
      </c>
      <c r="AW14" s="39">
        <v>72</v>
      </c>
      <c r="AX14" s="3">
        <v>50.4</v>
      </c>
      <c r="AY14" s="19">
        <v>77.400000000000006</v>
      </c>
      <c r="AZ14" s="15" t="str">
        <f t="shared" si="23"/>
        <v>Proficiency</v>
      </c>
      <c r="BA14" s="16" t="str">
        <f t="shared" si="5"/>
        <v>9th</v>
      </c>
      <c r="BB14" s="13">
        <v>30</v>
      </c>
      <c r="BC14" s="4">
        <v>63.5</v>
      </c>
      <c r="BD14" s="3">
        <v>44.449999999999996</v>
      </c>
      <c r="BE14" s="19">
        <v>74.449999999999989</v>
      </c>
      <c r="BF14" s="15" t="str">
        <f t="shared" si="24"/>
        <v>AP</v>
      </c>
      <c r="BG14" s="16" t="str">
        <f t="shared" si="25"/>
        <v>10th</v>
      </c>
      <c r="BH14" s="6">
        <f t="shared" si="26"/>
        <v>677.45</v>
      </c>
      <c r="BI14" s="46" t="str">
        <f t="shared" si="27"/>
        <v>9th</v>
      </c>
    </row>
    <row r="15" spans="1:578" ht="20.25">
      <c r="A15" s="1" t="s">
        <v>20</v>
      </c>
      <c r="B15" s="13">
        <v>26</v>
      </c>
      <c r="C15" s="13">
        <f t="shared" si="6"/>
        <v>49</v>
      </c>
      <c r="D15" s="3">
        <v>70</v>
      </c>
      <c r="E15" s="14">
        <f t="shared" si="0"/>
        <v>75</v>
      </c>
      <c r="F15" s="15" t="str">
        <f t="shared" si="7"/>
        <v>Proficiency</v>
      </c>
      <c r="G15" s="16" t="str">
        <f t="shared" si="8"/>
        <v>8th</v>
      </c>
      <c r="H15" s="13">
        <v>29</v>
      </c>
      <c r="I15" s="13">
        <v>100</v>
      </c>
      <c r="J15" s="3">
        <v>77</v>
      </c>
      <c r="K15" s="13">
        <f t="shared" si="9"/>
        <v>53.9</v>
      </c>
      <c r="L15" s="17">
        <f t="shared" si="1"/>
        <v>82.9</v>
      </c>
      <c r="M15" s="15" t="str">
        <f t="shared" si="10"/>
        <v>Advanced</v>
      </c>
      <c r="N15" s="16" t="str">
        <f t="shared" si="11"/>
        <v>5th</v>
      </c>
      <c r="O15" s="13">
        <v>30</v>
      </c>
      <c r="P15" s="13">
        <v>100</v>
      </c>
      <c r="Q15" s="3">
        <v>71</v>
      </c>
      <c r="R15" s="3">
        <v>49.699999999999996</v>
      </c>
      <c r="S15" s="17">
        <f t="shared" si="12"/>
        <v>79.699999999999989</v>
      </c>
      <c r="T15" s="15" t="str">
        <f t="shared" si="13"/>
        <v>Proficiency</v>
      </c>
      <c r="U15" s="16" t="str">
        <f t="shared" si="2"/>
        <v>4th</v>
      </c>
      <c r="V15" s="3">
        <v>30</v>
      </c>
      <c r="W15" s="3">
        <v>100</v>
      </c>
      <c r="X15" s="3">
        <f t="shared" si="28"/>
        <v>46.199999999999996</v>
      </c>
      <c r="Y15" s="39">
        <v>66</v>
      </c>
      <c r="Z15" s="32">
        <f t="shared" si="29"/>
        <v>76.199999999999989</v>
      </c>
      <c r="AA15" s="42" t="str">
        <f t="shared" si="14"/>
        <v>Proficiency</v>
      </c>
      <c r="AB15" s="16" t="str">
        <f t="shared" si="15"/>
        <v>8th</v>
      </c>
      <c r="AC15" s="13">
        <v>30</v>
      </c>
      <c r="AD15" s="13">
        <v>100</v>
      </c>
      <c r="AE15" s="3">
        <v>85</v>
      </c>
      <c r="AF15" s="13">
        <f t="shared" si="16"/>
        <v>59.499999999999993</v>
      </c>
      <c r="AG15" s="18">
        <f t="shared" si="17"/>
        <v>89.5</v>
      </c>
      <c r="AH15" s="15" t="str">
        <f t="shared" si="18"/>
        <v>Advanced</v>
      </c>
      <c r="AI15" s="16" t="str">
        <f t="shared" si="3"/>
        <v>2nd</v>
      </c>
      <c r="AJ15" s="13">
        <v>30</v>
      </c>
      <c r="AK15" s="3">
        <v>80</v>
      </c>
      <c r="AL15" s="3">
        <v>56</v>
      </c>
      <c r="AM15" s="17">
        <v>86</v>
      </c>
      <c r="AN15" s="15" t="str">
        <f t="shared" si="19"/>
        <v>Advanced</v>
      </c>
      <c r="AO15" s="16" t="str">
        <f t="shared" si="4"/>
        <v>10th</v>
      </c>
      <c r="AP15" s="13">
        <v>30</v>
      </c>
      <c r="AQ15" s="3">
        <v>71</v>
      </c>
      <c r="AR15" s="3">
        <v>49.699999999999996</v>
      </c>
      <c r="AS15" s="18">
        <f t="shared" si="30"/>
        <v>79.699999999999989</v>
      </c>
      <c r="AT15" s="15" t="str">
        <f t="shared" si="21"/>
        <v>Proficiency</v>
      </c>
      <c r="AU15" s="16" t="str">
        <f t="shared" si="22"/>
        <v>8th</v>
      </c>
      <c r="AV15" s="13">
        <v>28</v>
      </c>
      <c r="AW15" s="39">
        <v>86</v>
      </c>
      <c r="AX15" s="3">
        <v>60.199999999999996</v>
      </c>
      <c r="AY15" s="19">
        <v>88.199999999999989</v>
      </c>
      <c r="AZ15" s="15" t="str">
        <f t="shared" si="23"/>
        <v>Advanced</v>
      </c>
      <c r="BA15" s="16" t="str">
        <f t="shared" si="5"/>
        <v>3rd</v>
      </c>
      <c r="BB15" s="13">
        <v>30</v>
      </c>
      <c r="BC15" s="4">
        <v>68</v>
      </c>
      <c r="BD15" s="3">
        <v>47.599999999999994</v>
      </c>
      <c r="BE15" s="19">
        <v>77.599999999999994</v>
      </c>
      <c r="BF15" s="15" t="str">
        <f t="shared" si="24"/>
        <v>Proficiency</v>
      </c>
      <c r="BG15" s="16" t="str">
        <f t="shared" si="25"/>
        <v>4th</v>
      </c>
      <c r="BH15" s="6">
        <f t="shared" si="26"/>
        <v>734.8</v>
      </c>
      <c r="BI15" s="46" t="str">
        <f t="shared" si="27"/>
        <v>6th</v>
      </c>
    </row>
    <row r="16" spans="1:578" ht="20.25">
      <c r="A16" s="1" t="s">
        <v>36</v>
      </c>
      <c r="B16" s="13">
        <v>25</v>
      </c>
      <c r="C16" s="13">
        <f t="shared" si="6"/>
        <v>45.5</v>
      </c>
      <c r="D16" s="3">
        <v>65</v>
      </c>
      <c r="E16" s="14">
        <f t="shared" si="0"/>
        <v>70.5</v>
      </c>
      <c r="F16" s="15" t="str">
        <f t="shared" si="7"/>
        <v>AP</v>
      </c>
      <c r="G16" s="16" t="str">
        <f t="shared" si="8"/>
        <v>9th</v>
      </c>
      <c r="H16" s="13">
        <v>28</v>
      </c>
      <c r="I16" s="13">
        <v>100</v>
      </c>
      <c r="J16" s="3">
        <v>80</v>
      </c>
      <c r="K16" s="13">
        <f t="shared" si="9"/>
        <v>56</v>
      </c>
      <c r="L16" s="17">
        <f t="shared" si="1"/>
        <v>84</v>
      </c>
      <c r="M16" s="15" t="str">
        <f t="shared" si="10"/>
        <v>Advanced</v>
      </c>
      <c r="N16" s="16" t="str">
        <f t="shared" si="11"/>
        <v>4th</v>
      </c>
      <c r="O16" s="13">
        <v>28</v>
      </c>
      <c r="P16" s="13">
        <v>100</v>
      </c>
      <c r="Q16" s="3">
        <v>43</v>
      </c>
      <c r="R16" s="3">
        <v>30.099999999999998</v>
      </c>
      <c r="S16" s="17">
        <f t="shared" si="12"/>
        <v>58.099999999999994</v>
      </c>
      <c r="T16" s="15" t="str">
        <f t="shared" si="13"/>
        <v>Beginner</v>
      </c>
      <c r="U16" s="16" t="str">
        <f t="shared" si="2"/>
        <v>14th</v>
      </c>
      <c r="V16" s="3">
        <v>28</v>
      </c>
      <c r="W16" s="3">
        <v>100</v>
      </c>
      <c r="X16" s="3">
        <f t="shared" si="28"/>
        <v>35.699999999999996</v>
      </c>
      <c r="Y16" s="39">
        <v>51</v>
      </c>
      <c r="Z16" s="32">
        <f t="shared" si="29"/>
        <v>63.699999999999996</v>
      </c>
      <c r="AA16" s="42" t="str">
        <f t="shared" si="14"/>
        <v>Beginner</v>
      </c>
      <c r="AB16" s="16" t="str">
        <f t="shared" si="15"/>
        <v>15th</v>
      </c>
      <c r="AC16" s="13">
        <v>28</v>
      </c>
      <c r="AD16" s="13">
        <v>100</v>
      </c>
      <c r="AE16" s="3">
        <v>48</v>
      </c>
      <c r="AF16" s="13">
        <f t="shared" si="16"/>
        <v>33.599999999999994</v>
      </c>
      <c r="AG16" s="18">
        <f t="shared" si="17"/>
        <v>61.599999999999994</v>
      </c>
      <c r="AH16" s="15" t="str">
        <f t="shared" si="18"/>
        <v>Beginner</v>
      </c>
      <c r="AI16" s="16" t="str">
        <f t="shared" si="3"/>
        <v>14th</v>
      </c>
      <c r="AJ16" s="13">
        <v>30</v>
      </c>
      <c r="AK16" s="3">
        <v>51</v>
      </c>
      <c r="AL16" s="3">
        <v>35.699999999999996</v>
      </c>
      <c r="AM16" s="17">
        <v>65.699999999999989</v>
      </c>
      <c r="AN16" s="15" t="str">
        <f t="shared" si="19"/>
        <v>Developing</v>
      </c>
      <c r="AO16" s="16" t="str">
        <f t="shared" si="4"/>
        <v>31st</v>
      </c>
      <c r="AP16" s="13">
        <v>30</v>
      </c>
      <c r="AQ16" s="3">
        <v>75</v>
      </c>
      <c r="AR16" s="3">
        <v>52.5</v>
      </c>
      <c r="AS16" s="18">
        <f t="shared" si="30"/>
        <v>82.5</v>
      </c>
      <c r="AT16" s="15" t="str">
        <f t="shared" si="21"/>
        <v>Advanced</v>
      </c>
      <c r="AU16" s="16" t="str">
        <f t="shared" si="22"/>
        <v>7th</v>
      </c>
      <c r="AV16" s="13">
        <v>28</v>
      </c>
      <c r="AW16" s="39">
        <v>64</v>
      </c>
      <c r="AX16" s="3">
        <v>44.8</v>
      </c>
      <c r="AY16" s="19">
        <v>72.8</v>
      </c>
      <c r="AZ16" s="15" t="str">
        <f t="shared" si="23"/>
        <v>AP</v>
      </c>
      <c r="BA16" s="16" t="str">
        <f t="shared" si="5"/>
        <v>14th</v>
      </c>
      <c r="BB16" s="13">
        <v>30</v>
      </c>
      <c r="BC16" s="4">
        <v>63</v>
      </c>
      <c r="BD16" s="3">
        <v>44.099999999999994</v>
      </c>
      <c r="BE16" s="19">
        <v>74.099999999999994</v>
      </c>
      <c r="BF16" s="15" t="str">
        <f t="shared" si="24"/>
        <v>AP</v>
      </c>
      <c r="BG16" s="16" t="str">
        <f t="shared" si="25"/>
        <v>11th</v>
      </c>
      <c r="BH16" s="6">
        <f t="shared" si="26"/>
        <v>633</v>
      </c>
      <c r="BI16" s="46" t="str">
        <f t="shared" si="27"/>
        <v>11th</v>
      </c>
    </row>
    <row r="17" spans="1:61" ht="20.25">
      <c r="A17" s="1" t="s">
        <v>37</v>
      </c>
      <c r="B17" s="13">
        <v>25</v>
      </c>
      <c r="C17" s="13">
        <f t="shared" si="6"/>
        <v>45.5</v>
      </c>
      <c r="D17" s="3">
        <v>65</v>
      </c>
      <c r="E17" s="14">
        <f t="shared" si="0"/>
        <v>70.5</v>
      </c>
      <c r="F17" s="15" t="str">
        <f t="shared" si="7"/>
        <v>AP</v>
      </c>
      <c r="G17" s="16" t="str">
        <f t="shared" si="8"/>
        <v>9th</v>
      </c>
      <c r="H17" s="13">
        <v>28</v>
      </c>
      <c r="I17" s="13">
        <v>100</v>
      </c>
      <c r="J17" s="3">
        <v>60</v>
      </c>
      <c r="K17" s="13">
        <f t="shared" si="9"/>
        <v>42</v>
      </c>
      <c r="L17" s="17">
        <f t="shared" si="1"/>
        <v>70</v>
      </c>
      <c r="M17" s="15" t="str">
        <f t="shared" si="10"/>
        <v>AP</v>
      </c>
      <c r="N17" s="16" t="str">
        <f t="shared" si="11"/>
        <v>9th</v>
      </c>
      <c r="O17" s="13">
        <v>29</v>
      </c>
      <c r="P17" s="13">
        <v>100</v>
      </c>
      <c r="Q17" s="3">
        <v>56</v>
      </c>
      <c r="R17" s="3">
        <v>39.199999999999996</v>
      </c>
      <c r="S17" s="17">
        <f t="shared" si="12"/>
        <v>68.199999999999989</v>
      </c>
      <c r="T17" s="15" t="str">
        <f t="shared" si="13"/>
        <v>Developing</v>
      </c>
      <c r="U17" s="16" t="str">
        <f t="shared" si="2"/>
        <v>10th</v>
      </c>
      <c r="V17" s="3">
        <v>29</v>
      </c>
      <c r="W17" s="3">
        <v>100</v>
      </c>
      <c r="X17" s="3">
        <f t="shared" si="28"/>
        <v>45.5</v>
      </c>
      <c r="Y17" s="39">
        <v>65</v>
      </c>
      <c r="Z17" s="32">
        <f t="shared" si="29"/>
        <v>74.5</v>
      </c>
      <c r="AA17" s="42" t="str">
        <f t="shared" si="14"/>
        <v>AP</v>
      </c>
      <c r="AB17" s="16" t="str">
        <f t="shared" si="15"/>
        <v>10th</v>
      </c>
      <c r="AC17" s="13">
        <v>30</v>
      </c>
      <c r="AD17" s="3">
        <v>100</v>
      </c>
      <c r="AE17" s="3">
        <v>74</v>
      </c>
      <c r="AF17" s="13">
        <f t="shared" si="16"/>
        <v>51.8</v>
      </c>
      <c r="AG17" s="18">
        <f t="shared" si="17"/>
        <v>81.8</v>
      </c>
      <c r="AH17" s="15" t="str">
        <f t="shared" si="18"/>
        <v>Advanced</v>
      </c>
      <c r="AI17" s="16" t="str">
        <f t="shared" si="3"/>
        <v>4th</v>
      </c>
      <c r="AJ17" s="13">
        <v>30</v>
      </c>
      <c r="AK17" s="3">
        <v>84</v>
      </c>
      <c r="AL17" s="3">
        <v>58.8</v>
      </c>
      <c r="AM17" s="17">
        <v>88.8</v>
      </c>
      <c r="AN17" s="15" t="str">
        <f t="shared" si="19"/>
        <v>Advanced</v>
      </c>
      <c r="AO17" s="16" t="str">
        <f t="shared" si="4"/>
        <v>4th</v>
      </c>
      <c r="AP17" s="13">
        <v>30</v>
      </c>
      <c r="AQ17" s="3">
        <v>66</v>
      </c>
      <c r="AR17" s="3">
        <v>46.199999999999996</v>
      </c>
      <c r="AS17" s="18">
        <f>AP17+AR17</f>
        <v>76.199999999999989</v>
      </c>
      <c r="AT17" s="15" t="str">
        <f t="shared" si="21"/>
        <v>Proficiency</v>
      </c>
      <c r="AU17" s="16" t="str">
        <f t="shared" si="22"/>
        <v>9th</v>
      </c>
      <c r="AV17" s="13">
        <v>28</v>
      </c>
      <c r="AW17" s="39">
        <v>70</v>
      </c>
      <c r="AX17" s="3">
        <v>49</v>
      </c>
      <c r="AY17" s="19">
        <v>77</v>
      </c>
      <c r="AZ17" s="15" t="str">
        <f t="shared" si="23"/>
        <v>Proficiency</v>
      </c>
      <c r="BA17" s="16" t="str">
        <f t="shared" si="5"/>
        <v>10th</v>
      </c>
      <c r="BB17" s="13">
        <v>30</v>
      </c>
      <c r="BC17" s="4">
        <v>58</v>
      </c>
      <c r="BD17" s="3">
        <v>40.599999999999994</v>
      </c>
      <c r="BE17" s="19">
        <v>70.599999999999994</v>
      </c>
      <c r="BF17" s="15" t="str">
        <f t="shared" si="24"/>
        <v>AP</v>
      </c>
      <c r="BG17" s="16" t="str">
        <f t="shared" si="25"/>
        <v>15th</v>
      </c>
      <c r="BH17" s="6">
        <f t="shared" si="26"/>
        <v>677.6</v>
      </c>
      <c r="BI17" s="46" t="str">
        <f t="shared" si="27"/>
        <v>8th</v>
      </c>
    </row>
    <row r="18" spans="1:61" ht="20.25">
      <c r="A18" s="1" t="s">
        <v>38</v>
      </c>
      <c r="B18" s="13">
        <v>26</v>
      </c>
      <c r="C18" s="13">
        <f t="shared" si="6"/>
        <v>31.499999999999996</v>
      </c>
      <c r="D18" s="3">
        <v>45</v>
      </c>
      <c r="E18" s="14">
        <f t="shared" si="0"/>
        <v>57.5</v>
      </c>
      <c r="F18" s="15" t="str">
        <f t="shared" si="7"/>
        <v>Beginner</v>
      </c>
      <c r="G18" s="16" t="str">
        <f t="shared" si="8"/>
        <v>14th</v>
      </c>
      <c r="H18" s="13">
        <v>29</v>
      </c>
      <c r="I18" s="13">
        <v>100</v>
      </c>
      <c r="J18" s="3">
        <v>50</v>
      </c>
      <c r="K18" s="13">
        <f t="shared" si="9"/>
        <v>35</v>
      </c>
      <c r="L18" s="17">
        <f t="shared" si="1"/>
        <v>64</v>
      </c>
      <c r="M18" s="15" t="str">
        <f t="shared" si="10"/>
        <v>Beginner</v>
      </c>
      <c r="N18" s="16" t="str">
        <f t="shared" si="11"/>
        <v>12th</v>
      </c>
      <c r="O18" s="13">
        <v>27</v>
      </c>
      <c r="P18" s="13">
        <v>100</v>
      </c>
      <c r="Q18" s="3">
        <v>52</v>
      </c>
      <c r="R18" s="3">
        <v>36.4</v>
      </c>
      <c r="S18" s="17">
        <f t="shared" si="12"/>
        <v>63.4</v>
      </c>
      <c r="T18" s="15" t="str">
        <f t="shared" si="13"/>
        <v>Beginner</v>
      </c>
      <c r="U18" s="16" t="str">
        <f t="shared" si="2"/>
        <v>12th</v>
      </c>
      <c r="V18" s="3">
        <v>28</v>
      </c>
      <c r="W18" s="3">
        <v>100</v>
      </c>
      <c r="X18" s="3">
        <f t="shared" si="28"/>
        <v>58.8</v>
      </c>
      <c r="Y18" s="39">
        <v>84</v>
      </c>
      <c r="Z18" s="32">
        <f t="shared" si="29"/>
        <v>86.8</v>
      </c>
      <c r="AA18" s="42" t="str">
        <f t="shared" si="14"/>
        <v>Advanced</v>
      </c>
      <c r="AB18" s="16" t="str">
        <f t="shared" si="15"/>
        <v>3rd</v>
      </c>
      <c r="AC18" s="13">
        <v>30</v>
      </c>
      <c r="AD18" s="3">
        <v>100</v>
      </c>
      <c r="AE18" s="3">
        <v>53</v>
      </c>
      <c r="AF18" s="13">
        <f t="shared" si="16"/>
        <v>37.099999999999994</v>
      </c>
      <c r="AG18" s="18">
        <f t="shared" si="17"/>
        <v>67.099999999999994</v>
      </c>
      <c r="AH18" s="15" t="str">
        <f t="shared" si="18"/>
        <v>Developing</v>
      </c>
      <c r="AI18" s="16" t="str">
        <f t="shared" si="3"/>
        <v>11th</v>
      </c>
      <c r="AJ18" s="13">
        <v>30</v>
      </c>
      <c r="AK18" s="3">
        <v>76</v>
      </c>
      <c r="AL18" s="3">
        <v>53.199999999999996</v>
      </c>
      <c r="AM18" s="17">
        <v>83.199999999999989</v>
      </c>
      <c r="AN18" s="15" t="str">
        <f t="shared" si="19"/>
        <v>Advanced</v>
      </c>
      <c r="AO18" s="16" t="str">
        <f t="shared" si="4"/>
        <v>14th</v>
      </c>
      <c r="AP18" s="13">
        <v>30</v>
      </c>
      <c r="AQ18" s="3">
        <v>66</v>
      </c>
      <c r="AR18" s="3">
        <v>46.199999999999996</v>
      </c>
      <c r="AS18" s="18">
        <f>AP18+AR18</f>
        <v>76.199999999999989</v>
      </c>
      <c r="AT18" s="15" t="str">
        <f t="shared" si="21"/>
        <v>Proficiency</v>
      </c>
      <c r="AU18" s="16" t="str">
        <f t="shared" si="22"/>
        <v>9th</v>
      </c>
      <c r="AV18" s="13">
        <v>28</v>
      </c>
      <c r="AW18" s="39">
        <v>70</v>
      </c>
      <c r="AX18" s="3">
        <v>49</v>
      </c>
      <c r="AY18" s="19">
        <v>77</v>
      </c>
      <c r="AZ18" s="15" t="str">
        <f t="shared" si="23"/>
        <v>Proficiency</v>
      </c>
      <c r="BA18" s="16" t="str">
        <f t="shared" si="5"/>
        <v>10th</v>
      </c>
      <c r="BB18" s="13">
        <v>30</v>
      </c>
      <c r="BC18" s="4">
        <v>60</v>
      </c>
      <c r="BD18" s="3">
        <v>42</v>
      </c>
      <c r="BE18" s="19">
        <v>72</v>
      </c>
      <c r="BF18" s="15" t="str">
        <f t="shared" si="24"/>
        <v>AP</v>
      </c>
      <c r="BG18" s="16" t="str">
        <f t="shared" si="25"/>
        <v>14th</v>
      </c>
      <c r="BH18" s="6">
        <f t="shared" si="26"/>
        <v>647.20000000000005</v>
      </c>
      <c r="BI18" s="46" t="str">
        <f t="shared" si="27"/>
        <v>10th</v>
      </c>
    </row>
    <row r="19" spans="1:61" ht="20.25">
      <c r="A19" s="1" t="s">
        <v>39</v>
      </c>
      <c r="B19" s="13">
        <v>24</v>
      </c>
      <c r="C19" s="13">
        <f t="shared" si="6"/>
        <v>14</v>
      </c>
      <c r="D19" s="3">
        <v>20</v>
      </c>
      <c r="E19" s="14">
        <f t="shared" si="0"/>
        <v>38</v>
      </c>
      <c r="F19" s="15" t="str">
        <f t="shared" si="7"/>
        <v>Beginner</v>
      </c>
      <c r="G19" s="16" t="str">
        <f t="shared" si="8"/>
        <v>22nd</v>
      </c>
      <c r="H19" s="13">
        <v>28</v>
      </c>
      <c r="I19" s="13">
        <v>100</v>
      </c>
      <c r="J19" s="3">
        <v>41</v>
      </c>
      <c r="K19" s="13">
        <f t="shared" si="9"/>
        <v>28.7</v>
      </c>
      <c r="L19" s="17">
        <f t="shared" si="1"/>
        <v>56.7</v>
      </c>
      <c r="M19" s="15" t="str">
        <f t="shared" si="10"/>
        <v>Beginner</v>
      </c>
      <c r="N19" s="16" t="str">
        <f t="shared" si="11"/>
        <v>19th</v>
      </c>
      <c r="O19" s="13">
        <v>30</v>
      </c>
      <c r="P19" s="13">
        <v>100</v>
      </c>
      <c r="Q19" s="3">
        <v>64</v>
      </c>
      <c r="R19" s="3">
        <v>44.8</v>
      </c>
      <c r="S19" s="17">
        <f t="shared" si="12"/>
        <v>74.8</v>
      </c>
      <c r="T19" s="15" t="str">
        <f t="shared" si="13"/>
        <v>AP</v>
      </c>
      <c r="U19" s="16" t="str">
        <f t="shared" si="2"/>
        <v>7th</v>
      </c>
      <c r="V19" s="3">
        <v>25</v>
      </c>
      <c r="W19" s="3">
        <v>100</v>
      </c>
      <c r="X19" s="3">
        <f t="shared" si="28"/>
        <v>29.4</v>
      </c>
      <c r="Y19" s="39">
        <v>42</v>
      </c>
      <c r="Z19" s="32">
        <f t="shared" si="29"/>
        <v>54.4</v>
      </c>
      <c r="AA19" s="42" t="str">
        <f t="shared" si="14"/>
        <v>Beginner</v>
      </c>
      <c r="AB19" s="16" t="str">
        <f t="shared" si="15"/>
        <v>22nd</v>
      </c>
      <c r="AC19" s="13">
        <v>30</v>
      </c>
      <c r="AD19" s="3">
        <v>100</v>
      </c>
      <c r="AE19" s="3">
        <v>29</v>
      </c>
      <c r="AF19" s="13">
        <f t="shared" si="16"/>
        <v>20.299999999999997</v>
      </c>
      <c r="AG19" s="18">
        <f t="shared" si="17"/>
        <v>50.3</v>
      </c>
      <c r="AH19" s="15" t="str">
        <f t="shared" si="18"/>
        <v>Beginner</v>
      </c>
      <c r="AI19" s="16" t="str">
        <f t="shared" si="3"/>
        <v>21st</v>
      </c>
      <c r="AJ19" s="13">
        <v>30</v>
      </c>
      <c r="AK19" s="3">
        <v>57</v>
      </c>
      <c r="AL19" s="3">
        <v>39.9</v>
      </c>
      <c r="AM19" s="17">
        <v>69.900000000000006</v>
      </c>
      <c r="AN19" s="15" t="str">
        <f t="shared" si="19"/>
        <v>Developing</v>
      </c>
      <c r="AO19" s="16" t="str">
        <f t="shared" si="4"/>
        <v>26th</v>
      </c>
      <c r="AP19" s="13">
        <v>30</v>
      </c>
      <c r="AQ19" s="3">
        <v>66</v>
      </c>
      <c r="AR19" s="3">
        <v>46.199999999999996</v>
      </c>
      <c r="AS19" s="18">
        <f t="shared" ref="AS19:AS23" si="31">AP19+AR19</f>
        <v>76.199999999999989</v>
      </c>
      <c r="AT19" s="15" t="str">
        <f t="shared" si="21"/>
        <v>Proficiency</v>
      </c>
      <c r="AU19" s="16" t="str">
        <f t="shared" si="22"/>
        <v>9th</v>
      </c>
      <c r="AV19" s="13">
        <v>27</v>
      </c>
      <c r="AW19" s="39">
        <v>77</v>
      </c>
      <c r="AX19" s="3">
        <v>53.9</v>
      </c>
      <c r="AY19" s="19">
        <v>80.900000000000006</v>
      </c>
      <c r="AZ19" s="15" t="str">
        <f t="shared" si="23"/>
        <v>Advanced</v>
      </c>
      <c r="BA19" s="16" t="str">
        <f t="shared" si="5"/>
        <v>8th</v>
      </c>
      <c r="BB19" s="13">
        <v>30</v>
      </c>
      <c r="BC19" s="4">
        <v>37</v>
      </c>
      <c r="BD19" s="3">
        <v>25.9</v>
      </c>
      <c r="BE19" s="19">
        <v>55.9</v>
      </c>
      <c r="BF19" s="15" t="str">
        <f t="shared" si="24"/>
        <v>Beginner</v>
      </c>
      <c r="BG19" s="16" t="str">
        <f t="shared" si="25"/>
        <v>29th</v>
      </c>
      <c r="BH19" s="6">
        <f t="shared" si="26"/>
        <v>557.1</v>
      </c>
      <c r="BI19" s="46" t="str">
        <f t="shared" si="27"/>
        <v>16th</v>
      </c>
    </row>
    <row r="20" spans="1:61" ht="20.25">
      <c r="A20" s="1" t="s">
        <v>40</v>
      </c>
      <c r="B20" s="13">
        <v>26</v>
      </c>
      <c r="C20" s="13">
        <f t="shared" si="6"/>
        <v>52.5</v>
      </c>
      <c r="D20" s="3">
        <v>75</v>
      </c>
      <c r="E20" s="14">
        <f t="shared" si="0"/>
        <v>78.5</v>
      </c>
      <c r="F20" s="15" t="str">
        <f t="shared" si="7"/>
        <v>Proficiency</v>
      </c>
      <c r="G20" s="16" t="str">
        <f t="shared" si="8"/>
        <v>7th</v>
      </c>
      <c r="H20" s="13">
        <v>29</v>
      </c>
      <c r="I20" s="13">
        <v>100</v>
      </c>
      <c r="J20" s="3">
        <v>71</v>
      </c>
      <c r="K20" s="13">
        <f t="shared" si="9"/>
        <v>49.699999999999996</v>
      </c>
      <c r="L20" s="17">
        <f t="shared" si="1"/>
        <v>78.699999999999989</v>
      </c>
      <c r="M20" s="15" t="str">
        <f t="shared" si="10"/>
        <v>Proficiency</v>
      </c>
      <c r="N20" s="16" t="str">
        <f t="shared" si="11"/>
        <v>7th</v>
      </c>
      <c r="O20" s="13">
        <v>30</v>
      </c>
      <c r="P20" s="13">
        <v>100</v>
      </c>
      <c r="Q20" s="3">
        <v>71</v>
      </c>
      <c r="R20" s="3">
        <v>49.699999999999996</v>
      </c>
      <c r="S20" s="17">
        <f t="shared" si="12"/>
        <v>79.699999999999989</v>
      </c>
      <c r="T20" s="15" t="str">
        <f t="shared" si="13"/>
        <v>Proficiency</v>
      </c>
      <c r="U20" s="16" t="str">
        <f t="shared" si="2"/>
        <v>4th</v>
      </c>
      <c r="V20" s="3">
        <v>30</v>
      </c>
      <c r="W20" s="3">
        <v>100</v>
      </c>
      <c r="X20" s="3">
        <f t="shared" si="28"/>
        <v>52.5</v>
      </c>
      <c r="Y20" s="39">
        <v>75</v>
      </c>
      <c r="Z20" s="32">
        <f t="shared" si="29"/>
        <v>82.5</v>
      </c>
      <c r="AA20" s="42" t="str">
        <f t="shared" si="14"/>
        <v>Advanced</v>
      </c>
      <c r="AB20" s="16" t="str">
        <f t="shared" si="15"/>
        <v>5th</v>
      </c>
      <c r="AC20" s="13">
        <v>30</v>
      </c>
      <c r="AD20" s="3">
        <v>100</v>
      </c>
      <c r="AE20" s="3">
        <v>86</v>
      </c>
      <c r="AF20" s="13">
        <f t="shared" si="16"/>
        <v>60.199999999999996</v>
      </c>
      <c r="AG20" s="18">
        <f t="shared" si="17"/>
        <v>90.199999999999989</v>
      </c>
      <c r="AH20" s="15" t="str">
        <f t="shared" si="18"/>
        <v>Advanced</v>
      </c>
      <c r="AI20" s="16" t="str">
        <f t="shared" si="3"/>
        <v>1st</v>
      </c>
      <c r="AJ20" s="13">
        <v>30</v>
      </c>
      <c r="AK20" s="3">
        <v>80</v>
      </c>
      <c r="AL20" s="3">
        <v>56</v>
      </c>
      <c r="AM20" s="17">
        <v>86</v>
      </c>
      <c r="AN20" s="15" t="str">
        <f t="shared" si="19"/>
        <v>Advanced</v>
      </c>
      <c r="AO20" s="16" t="str">
        <f t="shared" si="4"/>
        <v>10th</v>
      </c>
      <c r="AP20" s="13">
        <v>30</v>
      </c>
      <c r="AQ20" s="3">
        <v>79</v>
      </c>
      <c r="AR20" s="3">
        <v>55.3</v>
      </c>
      <c r="AS20" s="18">
        <f t="shared" si="31"/>
        <v>85.3</v>
      </c>
      <c r="AT20" s="15" t="str">
        <f t="shared" si="21"/>
        <v>Advanced</v>
      </c>
      <c r="AU20" s="16" t="str">
        <f t="shared" si="22"/>
        <v>6th</v>
      </c>
      <c r="AV20" s="13">
        <v>28</v>
      </c>
      <c r="AW20" s="39">
        <v>69</v>
      </c>
      <c r="AX20" s="3">
        <v>48.3</v>
      </c>
      <c r="AY20" s="19">
        <v>76.3</v>
      </c>
      <c r="AZ20" s="15" t="str">
        <f t="shared" si="23"/>
        <v>Proficiency</v>
      </c>
      <c r="BA20" s="16" t="str">
        <f t="shared" si="5"/>
        <v>12th</v>
      </c>
      <c r="BB20" s="13">
        <v>30</v>
      </c>
      <c r="BC20" s="4">
        <v>68</v>
      </c>
      <c r="BD20" s="3">
        <v>47.599999999999994</v>
      </c>
      <c r="BE20" s="19">
        <v>77.599999999999994</v>
      </c>
      <c r="BF20" s="15" t="str">
        <f t="shared" si="24"/>
        <v>Proficiency</v>
      </c>
      <c r="BG20" s="16" t="str">
        <f t="shared" si="25"/>
        <v>4th</v>
      </c>
      <c r="BH20" s="6">
        <f t="shared" si="26"/>
        <v>734.80000000000007</v>
      </c>
      <c r="BI20" s="46" t="str">
        <f t="shared" si="27"/>
        <v>5th</v>
      </c>
    </row>
    <row r="21" spans="1:61" ht="20.25">
      <c r="A21" s="1" t="s">
        <v>41</v>
      </c>
      <c r="B21" s="13">
        <v>25</v>
      </c>
      <c r="C21" s="13">
        <f t="shared" si="6"/>
        <v>17.5</v>
      </c>
      <c r="D21" s="3">
        <v>25</v>
      </c>
      <c r="E21" s="14">
        <f t="shared" si="0"/>
        <v>42.5</v>
      </c>
      <c r="F21" s="15" t="str">
        <f t="shared" si="7"/>
        <v>Beginner</v>
      </c>
      <c r="G21" s="16" t="str">
        <f t="shared" si="8"/>
        <v>18th</v>
      </c>
      <c r="H21" s="13">
        <v>28</v>
      </c>
      <c r="I21" s="13">
        <v>100</v>
      </c>
      <c r="J21" s="3">
        <v>40</v>
      </c>
      <c r="K21" s="13">
        <f t="shared" si="9"/>
        <v>28</v>
      </c>
      <c r="L21" s="17">
        <f t="shared" si="1"/>
        <v>56</v>
      </c>
      <c r="M21" s="15" t="str">
        <f t="shared" si="10"/>
        <v>Beginner</v>
      </c>
      <c r="N21" s="16" t="str">
        <f t="shared" si="11"/>
        <v>21st</v>
      </c>
      <c r="O21" s="13">
        <v>28</v>
      </c>
      <c r="P21" s="13">
        <v>100</v>
      </c>
      <c r="Q21" s="3">
        <v>41</v>
      </c>
      <c r="R21" s="3">
        <v>28.7</v>
      </c>
      <c r="S21" s="17">
        <f t="shared" si="12"/>
        <v>56.7</v>
      </c>
      <c r="T21" s="15" t="str">
        <f t="shared" si="13"/>
        <v>Beginner</v>
      </c>
      <c r="U21" s="16" t="str">
        <f t="shared" si="2"/>
        <v>15th</v>
      </c>
      <c r="V21" s="3">
        <v>29</v>
      </c>
      <c r="W21" s="3">
        <v>100</v>
      </c>
      <c r="X21" s="3">
        <f t="shared" si="28"/>
        <v>36.4</v>
      </c>
      <c r="Y21" s="39">
        <v>52</v>
      </c>
      <c r="Z21" s="32">
        <f t="shared" si="29"/>
        <v>65.400000000000006</v>
      </c>
      <c r="AA21" s="42" t="str">
        <f t="shared" si="14"/>
        <v>Developing</v>
      </c>
      <c r="AB21" s="16" t="str">
        <f t="shared" si="15"/>
        <v>13th</v>
      </c>
      <c r="AC21" s="13">
        <v>30</v>
      </c>
      <c r="AD21" s="3">
        <v>100</v>
      </c>
      <c r="AE21" s="3">
        <v>46</v>
      </c>
      <c r="AF21" s="13">
        <f t="shared" si="16"/>
        <v>32.199999999999996</v>
      </c>
      <c r="AG21" s="18">
        <f t="shared" si="17"/>
        <v>62.199999999999996</v>
      </c>
      <c r="AH21" s="15" t="str">
        <f t="shared" si="18"/>
        <v>Beginner</v>
      </c>
      <c r="AI21" s="16" t="str">
        <f t="shared" si="3"/>
        <v>13th</v>
      </c>
      <c r="AJ21" s="13">
        <v>30</v>
      </c>
      <c r="AK21" s="3">
        <v>74</v>
      </c>
      <c r="AL21" s="3">
        <v>51.8</v>
      </c>
      <c r="AM21" s="17">
        <v>81.8</v>
      </c>
      <c r="AN21" s="15" t="str">
        <f t="shared" si="19"/>
        <v>Advanced</v>
      </c>
      <c r="AO21" s="16" t="str">
        <f t="shared" si="4"/>
        <v>17th</v>
      </c>
      <c r="AP21" s="13">
        <v>30</v>
      </c>
      <c r="AQ21" s="3">
        <v>44</v>
      </c>
      <c r="AR21" s="3">
        <v>30.799999999999997</v>
      </c>
      <c r="AS21" s="18">
        <f t="shared" si="31"/>
        <v>60.8</v>
      </c>
      <c r="AT21" s="15" t="str">
        <f t="shared" si="21"/>
        <v>Beginner</v>
      </c>
      <c r="AU21" s="16" t="str">
        <f t="shared" si="22"/>
        <v>24th</v>
      </c>
      <c r="AV21" s="13">
        <v>28</v>
      </c>
      <c r="AW21" s="39">
        <v>52</v>
      </c>
      <c r="AX21" s="3">
        <v>36.4</v>
      </c>
      <c r="AY21" s="19">
        <v>64.400000000000006</v>
      </c>
      <c r="AZ21" s="15" t="str">
        <f t="shared" si="23"/>
        <v>Beginner</v>
      </c>
      <c r="BA21" s="16" t="str">
        <f t="shared" si="5"/>
        <v>16th</v>
      </c>
      <c r="BB21" s="13">
        <v>30</v>
      </c>
      <c r="BC21" s="4">
        <v>55</v>
      </c>
      <c r="BD21" s="3">
        <v>38.5</v>
      </c>
      <c r="BE21" s="19">
        <v>68.5</v>
      </c>
      <c r="BF21" s="15" t="str">
        <f t="shared" si="24"/>
        <v>Developing</v>
      </c>
      <c r="BG21" s="16" t="str">
        <f t="shared" si="25"/>
        <v>20th</v>
      </c>
      <c r="BH21" s="6">
        <f t="shared" si="26"/>
        <v>558.30000000000007</v>
      </c>
      <c r="BI21" s="46" t="str">
        <f t="shared" si="27"/>
        <v>15th</v>
      </c>
    </row>
    <row r="22" spans="1:61" ht="20.25">
      <c r="A22" s="1" t="s">
        <v>42</v>
      </c>
      <c r="B22" s="13">
        <v>25</v>
      </c>
      <c r="C22" s="13">
        <f t="shared" si="6"/>
        <v>17.5</v>
      </c>
      <c r="D22" s="3">
        <v>25</v>
      </c>
      <c r="E22" s="14">
        <f t="shared" si="0"/>
        <v>42.5</v>
      </c>
      <c r="F22" s="15" t="str">
        <f t="shared" si="7"/>
        <v>Beginner</v>
      </c>
      <c r="G22" s="16" t="str">
        <f t="shared" si="8"/>
        <v>18th</v>
      </c>
      <c r="H22" s="13">
        <v>28</v>
      </c>
      <c r="I22" s="13">
        <v>100</v>
      </c>
      <c r="J22" s="3">
        <v>55</v>
      </c>
      <c r="K22" s="13">
        <f t="shared" si="9"/>
        <v>38.5</v>
      </c>
      <c r="L22" s="17">
        <f t="shared" si="1"/>
        <v>66.5</v>
      </c>
      <c r="M22" s="15" t="str">
        <f t="shared" si="10"/>
        <v>Developing</v>
      </c>
      <c r="N22" s="16" t="str">
        <f t="shared" si="11"/>
        <v>11th</v>
      </c>
      <c r="O22" s="13">
        <v>15</v>
      </c>
      <c r="P22" s="13">
        <v>100</v>
      </c>
      <c r="Q22" s="3">
        <v>41</v>
      </c>
      <c r="R22" s="3">
        <v>28.7</v>
      </c>
      <c r="S22" s="17">
        <f t="shared" si="12"/>
        <v>43.7</v>
      </c>
      <c r="T22" s="15" t="str">
        <f t="shared" si="13"/>
        <v>Beginner</v>
      </c>
      <c r="U22" s="16" t="str">
        <f t="shared" si="2"/>
        <v>26th</v>
      </c>
      <c r="V22" s="3">
        <v>28</v>
      </c>
      <c r="W22" s="3">
        <v>100</v>
      </c>
      <c r="X22" s="3">
        <f t="shared" si="28"/>
        <v>47.599999999999994</v>
      </c>
      <c r="Y22" s="39">
        <v>68</v>
      </c>
      <c r="Z22" s="32">
        <f t="shared" si="29"/>
        <v>75.599999999999994</v>
      </c>
      <c r="AA22" s="42" t="str">
        <f t="shared" si="14"/>
        <v>Proficiency</v>
      </c>
      <c r="AB22" s="16" t="str">
        <f t="shared" si="15"/>
        <v>9th</v>
      </c>
      <c r="AC22" s="13">
        <v>27</v>
      </c>
      <c r="AD22" s="3">
        <v>100</v>
      </c>
      <c r="AE22" s="3">
        <v>28</v>
      </c>
      <c r="AF22" s="13">
        <f t="shared" si="16"/>
        <v>19.599999999999998</v>
      </c>
      <c r="AG22" s="18">
        <f t="shared" si="17"/>
        <v>46.599999999999994</v>
      </c>
      <c r="AH22" s="15" t="str">
        <f t="shared" si="18"/>
        <v>Beginner</v>
      </c>
      <c r="AI22" s="16" t="str">
        <f t="shared" si="3"/>
        <v>24th</v>
      </c>
      <c r="AJ22" s="13">
        <v>30</v>
      </c>
      <c r="AK22" s="3">
        <v>57</v>
      </c>
      <c r="AL22" s="3">
        <v>39.9</v>
      </c>
      <c r="AM22" s="17">
        <v>69.900000000000006</v>
      </c>
      <c r="AN22" s="15" t="str">
        <f t="shared" si="19"/>
        <v>Developing</v>
      </c>
      <c r="AO22" s="16" t="str">
        <f t="shared" si="4"/>
        <v>26th</v>
      </c>
      <c r="AP22" s="13">
        <v>30</v>
      </c>
      <c r="AQ22" s="3">
        <v>59</v>
      </c>
      <c r="AR22" s="3">
        <v>41.3</v>
      </c>
      <c r="AS22" s="18">
        <f t="shared" si="31"/>
        <v>71.3</v>
      </c>
      <c r="AT22" s="15" t="str">
        <f t="shared" si="21"/>
        <v>AP</v>
      </c>
      <c r="AU22" s="16" t="str">
        <f t="shared" si="22"/>
        <v>15th</v>
      </c>
      <c r="AV22" s="13">
        <v>28</v>
      </c>
      <c r="AW22" s="39">
        <v>80</v>
      </c>
      <c r="AX22" s="3">
        <v>56</v>
      </c>
      <c r="AY22" s="19">
        <v>84</v>
      </c>
      <c r="AZ22" s="15" t="str">
        <f t="shared" si="23"/>
        <v>Advanced</v>
      </c>
      <c r="BA22" s="16" t="str">
        <f t="shared" si="5"/>
        <v>4th</v>
      </c>
      <c r="BB22" s="13">
        <v>30</v>
      </c>
      <c r="BC22" s="4">
        <v>62</v>
      </c>
      <c r="BD22" s="3">
        <v>43.4</v>
      </c>
      <c r="BE22" s="19">
        <v>73.400000000000006</v>
      </c>
      <c r="BF22" s="15" t="str">
        <f t="shared" si="24"/>
        <v>AP</v>
      </c>
      <c r="BG22" s="16" t="str">
        <f t="shared" si="25"/>
        <v>12th</v>
      </c>
      <c r="BH22" s="6">
        <f t="shared" si="26"/>
        <v>573.5</v>
      </c>
      <c r="BI22" s="46" t="str">
        <f t="shared" si="27"/>
        <v>14th</v>
      </c>
    </row>
    <row r="23" spans="1:61" ht="20.25">
      <c r="A23" s="1" t="s">
        <v>43</v>
      </c>
      <c r="B23" s="13">
        <v>26</v>
      </c>
      <c r="C23" s="13">
        <f t="shared" si="6"/>
        <v>59.499999999999993</v>
      </c>
      <c r="D23" s="3">
        <v>85</v>
      </c>
      <c r="E23" s="14">
        <f t="shared" si="0"/>
        <v>85.5</v>
      </c>
      <c r="F23" s="15" t="str">
        <f t="shared" si="7"/>
        <v>Advanced</v>
      </c>
      <c r="G23" s="16" t="str">
        <f t="shared" si="8"/>
        <v>5th</v>
      </c>
      <c r="H23" s="13">
        <v>29</v>
      </c>
      <c r="I23" s="13">
        <v>100</v>
      </c>
      <c r="J23" s="3">
        <v>68</v>
      </c>
      <c r="K23" s="13">
        <f t="shared" si="9"/>
        <v>47.599999999999994</v>
      </c>
      <c r="L23" s="17">
        <f t="shared" si="1"/>
        <v>76.599999999999994</v>
      </c>
      <c r="M23" s="15" t="str">
        <f t="shared" si="10"/>
        <v>Proficiency</v>
      </c>
      <c r="N23" s="16" t="str">
        <f t="shared" si="11"/>
        <v>8th</v>
      </c>
      <c r="O23" s="13">
        <v>30</v>
      </c>
      <c r="P23" s="13">
        <v>100</v>
      </c>
      <c r="Q23" s="3">
        <v>83</v>
      </c>
      <c r="R23" s="3">
        <v>58.099999999999994</v>
      </c>
      <c r="S23" s="17">
        <f t="shared" si="12"/>
        <v>88.1</v>
      </c>
      <c r="T23" s="15" t="str">
        <f t="shared" si="13"/>
        <v>Advanced</v>
      </c>
      <c r="U23" s="16" t="str">
        <f t="shared" si="2"/>
        <v>1st</v>
      </c>
      <c r="V23" s="3">
        <v>29</v>
      </c>
      <c r="W23" s="3">
        <v>100</v>
      </c>
      <c r="X23" s="3">
        <f t="shared" si="28"/>
        <v>51.8</v>
      </c>
      <c r="Y23" s="39">
        <v>74</v>
      </c>
      <c r="Z23" s="32">
        <f t="shared" si="29"/>
        <v>80.8</v>
      </c>
      <c r="AA23" s="42" t="str">
        <f t="shared" si="14"/>
        <v>Advanced</v>
      </c>
      <c r="AB23" s="16" t="str">
        <f t="shared" si="15"/>
        <v>6th</v>
      </c>
      <c r="AC23" s="13">
        <v>30</v>
      </c>
      <c r="AD23" s="3">
        <v>100</v>
      </c>
      <c r="AE23" s="3">
        <v>61</v>
      </c>
      <c r="AF23" s="13">
        <f t="shared" si="16"/>
        <v>42.699999999999996</v>
      </c>
      <c r="AG23" s="18">
        <f t="shared" si="17"/>
        <v>72.699999999999989</v>
      </c>
      <c r="AH23" s="15" t="str">
        <f t="shared" si="18"/>
        <v>AP</v>
      </c>
      <c r="AI23" s="16" t="str">
        <f t="shared" si="3"/>
        <v>9th</v>
      </c>
      <c r="AJ23" s="13">
        <v>30</v>
      </c>
      <c r="AK23" s="3">
        <v>82</v>
      </c>
      <c r="AL23" s="3">
        <v>57.4</v>
      </c>
      <c r="AM23" s="17">
        <v>87.4</v>
      </c>
      <c r="AN23" s="15" t="str">
        <f t="shared" si="19"/>
        <v>Advanced</v>
      </c>
      <c r="AO23" s="16" t="str">
        <f t="shared" si="4"/>
        <v>6th</v>
      </c>
      <c r="AP23" s="13">
        <v>30</v>
      </c>
      <c r="AQ23" s="3">
        <v>87</v>
      </c>
      <c r="AR23" s="3">
        <v>60.9</v>
      </c>
      <c r="AS23" s="18">
        <f t="shared" si="31"/>
        <v>90.9</v>
      </c>
      <c r="AT23" s="15" t="str">
        <f t="shared" si="21"/>
        <v>Advanced</v>
      </c>
      <c r="AU23" s="16" t="str">
        <f t="shared" si="22"/>
        <v>2nd</v>
      </c>
      <c r="AV23" s="13">
        <v>28</v>
      </c>
      <c r="AW23" s="39">
        <v>76</v>
      </c>
      <c r="AX23" s="3">
        <v>53.199999999999996</v>
      </c>
      <c r="AY23" s="19">
        <v>81.199999999999989</v>
      </c>
      <c r="AZ23" s="15" t="str">
        <f t="shared" si="23"/>
        <v>Advanced</v>
      </c>
      <c r="BA23" s="16" t="str">
        <f t="shared" si="5"/>
        <v>7th</v>
      </c>
      <c r="BB23" s="13">
        <v>30</v>
      </c>
      <c r="BC23" s="4">
        <v>68</v>
      </c>
      <c r="BD23" s="3">
        <v>47.599999999999994</v>
      </c>
      <c r="BE23" s="19">
        <v>77.599999999999994</v>
      </c>
      <c r="BF23" s="15" t="str">
        <f t="shared" si="24"/>
        <v>Proficiency</v>
      </c>
      <c r="BG23" s="16" t="str">
        <f t="shared" si="25"/>
        <v>4th</v>
      </c>
      <c r="BH23" s="6">
        <f t="shared" si="26"/>
        <v>740.8</v>
      </c>
      <c r="BI23" s="46" t="str">
        <f t="shared" si="27"/>
        <v>4th</v>
      </c>
    </row>
    <row r="24" spans="1:61" ht="20.25">
      <c r="A24" s="1" t="s">
        <v>21</v>
      </c>
      <c r="B24" s="13">
        <v>24</v>
      </c>
      <c r="C24" s="13">
        <f t="shared" si="6"/>
        <v>31.499999999999996</v>
      </c>
      <c r="D24" s="3">
        <v>45</v>
      </c>
      <c r="E24" s="14">
        <f t="shared" si="0"/>
        <v>55.5</v>
      </c>
      <c r="F24" s="15" t="str">
        <f t="shared" si="7"/>
        <v>Beginner</v>
      </c>
      <c r="G24" s="16" t="str">
        <f t="shared" si="8"/>
        <v>15th</v>
      </c>
      <c r="H24" s="13">
        <v>27</v>
      </c>
      <c r="I24" s="13">
        <v>100</v>
      </c>
      <c r="J24" s="3">
        <v>29</v>
      </c>
      <c r="K24" s="13">
        <f t="shared" si="9"/>
        <v>20.299999999999997</v>
      </c>
      <c r="L24" s="17">
        <f t="shared" si="1"/>
        <v>47.3</v>
      </c>
      <c r="M24" s="15" t="str">
        <f t="shared" si="10"/>
        <v>Beginner</v>
      </c>
      <c r="N24" s="16" t="str">
        <f t="shared" si="11"/>
        <v>29th</v>
      </c>
      <c r="O24" s="13">
        <v>27</v>
      </c>
      <c r="P24" s="13">
        <v>100</v>
      </c>
      <c r="Q24" s="3">
        <v>42</v>
      </c>
      <c r="R24" s="3">
        <v>29.4</v>
      </c>
      <c r="S24" s="17">
        <f t="shared" si="12"/>
        <v>56.4</v>
      </c>
      <c r="T24" s="15" t="str">
        <f t="shared" si="13"/>
        <v>Beginner</v>
      </c>
      <c r="U24" s="16" t="str">
        <f t="shared" si="2"/>
        <v>16th</v>
      </c>
      <c r="V24" s="3">
        <v>28</v>
      </c>
      <c r="W24" s="3">
        <v>100</v>
      </c>
      <c r="X24" s="3">
        <f t="shared" si="28"/>
        <v>18.2</v>
      </c>
      <c r="Y24" s="39">
        <v>26</v>
      </c>
      <c r="Z24" s="32">
        <f t="shared" si="29"/>
        <v>46.2</v>
      </c>
      <c r="AA24" s="42" t="str">
        <f t="shared" si="14"/>
        <v>Beginner</v>
      </c>
      <c r="AB24" s="16" t="str">
        <f t="shared" si="15"/>
        <v>26th</v>
      </c>
      <c r="AC24" s="13">
        <v>27</v>
      </c>
      <c r="AD24" s="3">
        <v>100</v>
      </c>
      <c r="AE24" s="3">
        <v>30</v>
      </c>
      <c r="AF24" s="13">
        <f t="shared" si="16"/>
        <v>21</v>
      </c>
      <c r="AG24" s="18">
        <f t="shared" si="17"/>
        <v>48</v>
      </c>
      <c r="AH24" s="15" t="str">
        <f t="shared" si="18"/>
        <v>Beginner</v>
      </c>
      <c r="AI24" s="16" t="str">
        <f t="shared" si="3"/>
        <v>23rd</v>
      </c>
      <c r="AJ24" s="13">
        <v>30</v>
      </c>
      <c r="AK24" s="3">
        <v>60</v>
      </c>
      <c r="AL24" s="3">
        <v>42</v>
      </c>
      <c r="AM24" s="17">
        <v>72</v>
      </c>
      <c r="AN24" s="15" t="str">
        <f t="shared" si="19"/>
        <v>AP</v>
      </c>
      <c r="AO24" s="16" t="str">
        <f t="shared" si="4"/>
        <v>25th</v>
      </c>
      <c r="AP24" s="13">
        <v>30</v>
      </c>
      <c r="AQ24" s="3">
        <v>47</v>
      </c>
      <c r="AR24" s="3">
        <v>32.9</v>
      </c>
      <c r="AS24" s="18">
        <f>AP24+AR24</f>
        <v>62.9</v>
      </c>
      <c r="AT24" s="15" t="str">
        <f t="shared" si="21"/>
        <v>Beginner</v>
      </c>
      <c r="AU24" s="16" t="str">
        <f t="shared" si="22"/>
        <v>23rd</v>
      </c>
      <c r="AV24" s="13">
        <v>27</v>
      </c>
      <c r="AW24" s="39">
        <v>32</v>
      </c>
      <c r="AX24" s="3">
        <v>22.4</v>
      </c>
      <c r="AY24" s="19">
        <v>49.4</v>
      </c>
      <c r="AZ24" s="15" t="str">
        <f t="shared" si="23"/>
        <v>Beginner</v>
      </c>
      <c r="BA24" s="16" t="str">
        <f t="shared" si="5"/>
        <v>29th</v>
      </c>
      <c r="BB24" s="13">
        <v>30</v>
      </c>
      <c r="BC24" s="4">
        <v>64</v>
      </c>
      <c r="BD24" s="3">
        <v>44.8</v>
      </c>
      <c r="BE24" s="19">
        <v>74.8</v>
      </c>
      <c r="BF24" s="15" t="str">
        <f t="shared" si="24"/>
        <v>AP</v>
      </c>
      <c r="BG24" s="16" t="str">
        <f t="shared" si="25"/>
        <v>8th</v>
      </c>
      <c r="BH24" s="6">
        <f t="shared" si="26"/>
        <v>512.5</v>
      </c>
      <c r="BI24" s="46" t="str">
        <f t="shared" si="27"/>
        <v>22nd</v>
      </c>
    </row>
    <row r="25" spans="1:61" ht="20.25">
      <c r="A25" s="1" t="s">
        <v>44</v>
      </c>
      <c r="B25" s="13">
        <v>25</v>
      </c>
      <c r="C25" s="13">
        <f t="shared" si="6"/>
        <v>35</v>
      </c>
      <c r="D25" s="3">
        <v>50</v>
      </c>
      <c r="E25" s="14">
        <f t="shared" si="0"/>
        <v>60</v>
      </c>
      <c r="F25" s="15" t="str">
        <f t="shared" si="7"/>
        <v>Beginner</v>
      </c>
      <c r="G25" s="16" t="str">
        <f t="shared" si="8"/>
        <v>13th</v>
      </c>
      <c r="H25" s="13">
        <v>28</v>
      </c>
      <c r="I25" s="13">
        <v>100</v>
      </c>
      <c r="J25" s="3">
        <v>42</v>
      </c>
      <c r="K25" s="13">
        <f t="shared" si="9"/>
        <v>29.4</v>
      </c>
      <c r="L25" s="17">
        <f t="shared" si="1"/>
        <v>57.4</v>
      </c>
      <c r="M25" s="15" t="str">
        <f t="shared" si="10"/>
        <v>Beginner</v>
      </c>
      <c r="N25" s="16" t="str">
        <f t="shared" si="11"/>
        <v>17th</v>
      </c>
      <c r="O25" s="13">
        <v>22</v>
      </c>
      <c r="P25" s="13">
        <v>100</v>
      </c>
      <c r="Q25" s="3">
        <v>56</v>
      </c>
      <c r="R25" s="3">
        <v>39.199999999999996</v>
      </c>
      <c r="S25" s="17">
        <f t="shared" si="12"/>
        <v>61.199999999999996</v>
      </c>
      <c r="T25" s="15" t="str">
        <f t="shared" si="13"/>
        <v>Beginner</v>
      </c>
      <c r="U25" s="16" t="str">
        <f t="shared" si="2"/>
        <v>13th</v>
      </c>
      <c r="V25" s="3">
        <v>27</v>
      </c>
      <c r="W25" s="3">
        <v>100</v>
      </c>
      <c r="X25" s="3">
        <f t="shared" si="28"/>
        <v>0</v>
      </c>
      <c r="Y25" s="39"/>
      <c r="Z25" s="32">
        <f t="shared" si="29"/>
        <v>27</v>
      </c>
      <c r="AA25" s="42" t="str">
        <f t="shared" si="14"/>
        <v>Beginner</v>
      </c>
      <c r="AB25" s="16" t="str">
        <f t="shared" si="15"/>
        <v>32nd</v>
      </c>
      <c r="AC25" s="13">
        <v>25</v>
      </c>
      <c r="AD25" s="3">
        <v>100</v>
      </c>
      <c r="AE25" s="3">
        <v>35</v>
      </c>
      <c r="AF25" s="13">
        <f t="shared" si="16"/>
        <v>24.5</v>
      </c>
      <c r="AG25" s="18">
        <f t="shared" si="17"/>
        <v>49.5</v>
      </c>
      <c r="AH25" s="15" t="str">
        <f t="shared" si="18"/>
        <v>Beginner</v>
      </c>
      <c r="AI25" s="16" t="str">
        <f t="shared" si="3"/>
        <v>22nd</v>
      </c>
      <c r="AJ25" s="13">
        <v>30</v>
      </c>
      <c r="AK25" s="3">
        <v>75</v>
      </c>
      <c r="AL25" s="3">
        <v>52.5</v>
      </c>
      <c r="AM25" s="17">
        <v>82.5</v>
      </c>
      <c r="AN25" s="15" t="str">
        <f t="shared" si="19"/>
        <v>Advanced</v>
      </c>
      <c r="AO25" s="16" t="str">
        <f t="shared" si="4"/>
        <v>16th</v>
      </c>
      <c r="AP25" s="13">
        <v>30</v>
      </c>
      <c r="AQ25" s="3">
        <v>54</v>
      </c>
      <c r="AR25" s="3">
        <v>37.799999999999997</v>
      </c>
      <c r="AS25" s="18">
        <f>AP25+AR25</f>
        <v>67.8</v>
      </c>
      <c r="AT25" s="15" t="str">
        <f t="shared" si="21"/>
        <v>Developing</v>
      </c>
      <c r="AU25" s="16" t="str">
        <f t="shared" si="22"/>
        <v>16th</v>
      </c>
      <c r="AV25" s="13">
        <v>28</v>
      </c>
      <c r="AW25" s="39">
        <v>52</v>
      </c>
      <c r="AX25" s="3">
        <v>36.4</v>
      </c>
      <c r="AY25" s="19">
        <v>64.400000000000006</v>
      </c>
      <c r="AZ25" s="15" t="str">
        <f t="shared" si="23"/>
        <v>Beginner</v>
      </c>
      <c r="BA25" s="16" t="str">
        <f t="shared" si="5"/>
        <v>16th</v>
      </c>
      <c r="BB25" s="13">
        <v>30</v>
      </c>
      <c r="BC25" s="4">
        <v>50</v>
      </c>
      <c r="BD25" s="3">
        <v>35</v>
      </c>
      <c r="BE25" s="19">
        <v>65</v>
      </c>
      <c r="BF25" s="15" t="str">
        <f t="shared" si="24"/>
        <v>Developing</v>
      </c>
      <c r="BG25" s="16" t="str">
        <f t="shared" si="25"/>
        <v>22nd</v>
      </c>
      <c r="BH25" s="6">
        <f t="shared" si="26"/>
        <v>534.79999999999995</v>
      </c>
      <c r="BI25" s="46" t="str">
        <f t="shared" si="27"/>
        <v>19th</v>
      </c>
    </row>
    <row r="26" spans="1:61" ht="20.25">
      <c r="A26" s="1" t="s">
        <v>22</v>
      </c>
      <c r="B26" s="13"/>
      <c r="C26" s="13">
        <f t="shared" si="6"/>
        <v>0</v>
      </c>
      <c r="D26" s="3"/>
      <c r="E26" s="14">
        <f t="shared" si="0"/>
        <v>0</v>
      </c>
      <c r="F26" s="15" t="str">
        <f t="shared" si="7"/>
        <v>Beginner</v>
      </c>
      <c r="G26" s="16" t="str">
        <f t="shared" si="8"/>
        <v>32nd</v>
      </c>
      <c r="H26" s="13"/>
      <c r="I26" s="13">
        <v>100</v>
      </c>
      <c r="J26" s="3">
        <v>42</v>
      </c>
      <c r="K26" s="13">
        <f t="shared" si="9"/>
        <v>29.4</v>
      </c>
      <c r="L26" s="17">
        <f t="shared" si="1"/>
        <v>29.4</v>
      </c>
      <c r="M26" s="15" t="str">
        <f t="shared" si="10"/>
        <v>Beginner</v>
      </c>
      <c r="N26" s="16" t="str">
        <f t="shared" si="11"/>
        <v>32nd</v>
      </c>
      <c r="O26" s="13">
        <v>22</v>
      </c>
      <c r="P26" s="13">
        <v>100</v>
      </c>
      <c r="Q26" s="3"/>
      <c r="R26" s="3">
        <v>0</v>
      </c>
      <c r="S26" s="17">
        <f t="shared" si="12"/>
        <v>22</v>
      </c>
      <c r="T26" s="15" t="str">
        <f t="shared" si="13"/>
        <v>Beginner</v>
      </c>
      <c r="U26" s="16" t="str">
        <f t="shared" si="2"/>
        <v>32nd</v>
      </c>
      <c r="V26" s="3"/>
      <c r="W26" s="3">
        <v>100</v>
      </c>
      <c r="X26" s="3">
        <f t="shared" si="28"/>
        <v>37.799999999999997</v>
      </c>
      <c r="Y26" s="39">
        <v>54</v>
      </c>
      <c r="Z26" s="32">
        <f t="shared" si="29"/>
        <v>37.799999999999997</v>
      </c>
      <c r="AA26" s="42" t="str">
        <f t="shared" si="14"/>
        <v>Beginner</v>
      </c>
      <c r="AB26" s="16" t="str">
        <f t="shared" si="15"/>
        <v>30th</v>
      </c>
      <c r="AC26" s="13">
        <v>26</v>
      </c>
      <c r="AD26" s="3">
        <v>100</v>
      </c>
      <c r="AE26" s="3"/>
      <c r="AF26" s="13">
        <f t="shared" si="16"/>
        <v>0</v>
      </c>
      <c r="AG26" s="18">
        <f t="shared" si="17"/>
        <v>26</v>
      </c>
      <c r="AH26" s="15" t="str">
        <f t="shared" si="18"/>
        <v>Beginner</v>
      </c>
      <c r="AI26" s="16" t="str">
        <f t="shared" si="3"/>
        <v>32nd</v>
      </c>
      <c r="AJ26" s="13">
        <v>30</v>
      </c>
      <c r="AK26" s="3"/>
      <c r="AL26" s="3">
        <v>0</v>
      </c>
      <c r="AM26" s="17">
        <v>30</v>
      </c>
      <c r="AN26" s="15" t="str">
        <f t="shared" si="19"/>
        <v>Beginner</v>
      </c>
      <c r="AO26" s="16" t="str">
        <f t="shared" si="4"/>
        <v>32nd</v>
      </c>
      <c r="AP26" s="13">
        <v>30</v>
      </c>
      <c r="AQ26" s="3"/>
      <c r="AR26" s="3">
        <v>0</v>
      </c>
      <c r="AS26" s="18">
        <f t="shared" ref="AS26:AS30" si="32">AP26+AR26</f>
        <v>30</v>
      </c>
      <c r="AT26" s="15" t="str">
        <f t="shared" si="21"/>
        <v>Beginner</v>
      </c>
      <c r="AU26" s="16" t="str">
        <f t="shared" si="22"/>
        <v>32nd</v>
      </c>
      <c r="AV26" s="13"/>
      <c r="AW26" s="39"/>
      <c r="AX26" s="3">
        <v>0</v>
      </c>
      <c r="AY26" s="19">
        <v>0</v>
      </c>
      <c r="AZ26" s="15" t="str">
        <f t="shared" si="23"/>
        <v>Beginner</v>
      </c>
      <c r="BA26" s="16" t="str">
        <f t="shared" si="5"/>
        <v>32nd</v>
      </c>
      <c r="BB26" s="13">
        <v>30</v>
      </c>
      <c r="BC26" s="4"/>
      <c r="BD26" s="3">
        <v>0</v>
      </c>
      <c r="BE26" s="19">
        <v>30</v>
      </c>
      <c r="BF26" s="15" t="str">
        <f t="shared" si="24"/>
        <v>Beginner</v>
      </c>
      <c r="BG26" s="16" t="str">
        <f t="shared" si="25"/>
        <v>32nd</v>
      </c>
      <c r="BH26" s="6">
        <f t="shared" si="26"/>
        <v>205.20000000000002</v>
      </c>
      <c r="BI26" s="46" t="str">
        <f t="shared" si="27"/>
        <v>32nd</v>
      </c>
    </row>
    <row r="27" spans="1:61" ht="20.25">
      <c r="A27" s="1" t="s">
        <v>45</v>
      </c>
      <c r="B27" s="13">
        <v>24</v>
      </c>
      <c r="C27" s="13">
        <f t="shared" si="6"/>
        <v>28</v>
      </c>
      <c r="D27" s="3">
        <v>40</v>
      </c>
      <c r="E27" s="14">
        <f t="shared" si="0"/>
        <v>52</v>
      </c>
      <c r="F27" s="15" t="str">
        <f t="shared" si="7"/>
        <v>Beginner</v>
      </c>
      <c r="G27" s="16" t="str">
        <f t="shared" si="8"/>
        <v>17th</v>
      </c>
      <c r="H27" s="13">
        <v>27</v>
      </c>
      <c r="I27" s="13">
        <v>100</v>
      </c>
      <c r="J27" s="3">
        <v>41</v>
      </c>
      <c r="K27" s="13">
        <f t="shared" si="9"/>
        <v>28.7</v>
      </c>
      <c r="L27" s="17">
        <f t="shared" si="1"/>
        <v>55.7</v>
      </c>
      <c r="M27" s="15" t="str">
        <f t="shared" si="10"/>
        <v>Beginner</v>
      </c>
      <c r="N27" s="16" t="str">
        <f t="shared" si="11"/>
        <v>23rd</v>
      </c>
      <c r="O27" s="13">
        <v>29</v>
      </c>
      <c r="P27" s="13">
        <v>100</v>
      </c>
      <c r="Q27" s="3">
        <v>36</v>
      </c>
      <c r="R27" s="3">
        <v>25.2</v>
      </c>
      <c r="S27" s="17">
        <f t="shared" si="12"/>
        <v>54.2</v>
      </c>
      <c r="T27" s="15" t="str">
        <f t="shared" si="13"/>
        <v>Beginner</v>
      </c>
      <c r="U27" s="16" t="str">
        <f t="shared" si="2"/>
        <v>17th</v>
      </c>
      <c r="V27" s="3">
        <v>25</v>
      </c>
      <c r="W27" s="3">
        <v>100</v>
      </c>
      <c r="X27" s="3">
        <f t="shared" si="28"/>
        <v>21</v>
      </c>
      <c r="Y27" s="39">
        <v>30</v>
      </c>
      <c r="Z27" s="32">
        <f t="shared" si="29"/>
        <v>46</v>
      </c>
      <c r="AA27" s="42" t="str">
        <f t="shared" si="14"/>
        <v>Beginner</v>
      </c>
      <c r="AB27" s="16" t="str">
        <f t="shared" si="15"/>
        <v>27th</v>
      </c>
      <c r="AC27" s="13">
        <v>25</v>
      </c>
      <c r="AD27" s="3">
        <v>100</v>
      </c>
      <c r="AE27" s="3">
        <v>19</v>
      </c>
      <c r="AF27" s="13">
        <f t="shared" si="16"/>
        <v>13.299999999999999</v>
      </c>
      <c r="AG27" s="18">
        <f t="shared" si="17"/>
        <v>38.299999999999997</v>
      </c>
      <c r="AH27" s="15" t="str">
        <f t="shared" si="18"/>
        <v>Beginner</v>
      </c>
      <c r="AI27" s="16" t="str">
        <f t="shared" si="3"/>
        <v>28th</v>
      </c>
      <c r="AJ27" s="13">
        <v>30</v>
      </c>
      <c r="AK27" s="3">
        <v>73</v>
      </c>
      <c r="AL27" s="3">
        <v>51.099999999999994</v>
      </c>
      <c r="AM27" s="17">
        <v>81.099999999999994</v>
      </c>
      <c r="AN27" s="15" t="str">
        <f t="shared" si="19"/>
        <v>Advanced</v>
      </c>
      <c r="AO27" s="16" t="str">
        <f t="shared" si="4"/>
        <v>19th</v>
      </c>
      <c r="AP27" s="13">
        <v>30</v>
      </c>
      <c r="AQ27" s="3">
        <v>44</v>
      </c>
      <c r="AR27" s="3">
        <v>30.799999999999997</v>
      </c>
      <c r="AS27" s="18">
        <f t="shared" si="32"/>
        <v>60.8</v>
      </c>
      <c r="AT27" s="15" t="str">
        <f t="shared" si="21"/>
        <v>Beginner</v>
      </c>
      <c r="AU27" s="16" t="str">
        <f t="shared" si="22"/>
        <v>24th</v>
      </c>
      <c r="AV27" s="13">
        <v>27</v>
      </c>
      <c r="AW27" s="39">
        <v>44</v>
      </c>
      <c r="AX27" s="3">
        <v>30.799999999999997</v>
      </c>
      <c r="AY27" s="19">
        <v>57.8</v>
      </c>
      <c r="AZ27" s="15" t="str">
        <f t="shared" si="23"/>
        <v>Beginner</v>
      </c>
      <c r="BA27" s="16" t="str">
        <f t="shared" si="5"/>
        <v>22nd</v>
      </c>
      <c r="BB27" s="13">
        <v>30</v>
      </c>
      <c r="BC27" s="4">
        <v>55</v>
      </c>
      <c r="BD27" s="3">
        <v>38.5</v>
      </c>
      <c r="BE27" s="19">
        <v>68.5</v>
      </c>
      <c r="BF27" s="15" t="str">
        <f t="shared" si="24"/>
        <v>Developing</v>
      </c>
      <c r="BG27" s="16" t="str">
        <f t="shared" si="25"/>
        <v>20th</v>
      </c>
      <c r="BH27" s="6">
        <f t="shared" si="26"/>
        <v>514.40000000000009</v>
      </c>
      <c r="BI27" s="46" t="str">
        <f t="shared" si="27"/>
        <v>21st</v>
      </c>
    </row>
    <row r="28" spans="1:61" ht="20.25">
      <c r="A28" s="1" t="s">
        <v>23</v>
      </c>
      <c r="B28" s="13">
        <v>24</v>
      </c>
      <c r="C28" s="13">
        <f t="shared" si="6"/>
        <v>0</v>
      </c>
      <c r="D28" s="3">
        <v>0</v>
      </c>
      <c r="E28" s="14">
        <f t="shared" si="0"/>
        <v>24</v>
      </c>
      <c r="F28" s="15" t="str">
        <f t="shared" si="7"/>
        <v>Beginner</v>
      </c>
      <c r="G28" s="16" t="str">
        <f t="shared" si="8"/>
        <v>29th</v>
      </c>
      <c r="H28" s="13">
        <v>24</v>
      </c>
      <c r="I28" s="13">
        <v>100</v>
      </c>
      <c r="J28" s="3">
        <v>20</v>
      </c>
      <c r="K28" s="13">
        <f t="shared" si="9"/>
        <v>14</v>
      </c>
      <c r="L28" s="17">
        <f t="shared" si="1"/>
        <v>38</v>
      </c>
      <c r="M28" s="15" t="str">
        <f t="shared" si="10"/>
        <v>Beginner</v>
      </c>
      <c r="N28" s="16" t="str">
        <f t="shared" si="11"/>
        <v>31st</v>
      </c>
      <c r="O28" s="13">
        <v>15</v>
      </c>
      <c r="P28" s="13">
        <v>100</v>
      </c>
      <c r="Q28" s="3">
        <v>14</v>
      </c>
      <c r="R28" s="3">
        <v>9.7999999999999989</v>
      </c>
      <c r="S28" s="17">
        <f t="shared" si="12"/>
        <v>24.799999999999997</v>
      </c>
      <c r="T28" s="15" t="str">
        <f t="shared" si="13"/>
        <v>Beginner</v>
      </c>
      <c r="U28" s="16" t="str">
        <f t="shared" si="2"/>
        <v>31st</v>
      </c>
      <c r="V28" s="3">
        <v>20</v>
      </c>
      <c r="W28" s="3">
        <v>100</v>
      </c>
      <c r="X28" s="3">
        <f t="shared" si="28"/>
        <v>12.6</v>
      </c>
      <c r="Y28" s="39">
        <v>18</v>
      </c>
      <c r="Z28" s="32">
        <f t="shared" si="29"/>
        <v>32.6</v>
      </c>
      <c r="AA28" s="42" t="str">
        <f t="shared" si="14"/>
        <v>Beginner</v>
      </c>
      <c r="AB28" s="16" t="str">
        <f t="shared" si="15"/>
        <v>31st</v>
      </c>
      <c r="AC28" s="13">
        <v>27</v>
      </c>
      <c r="AD28" s="3">
        <v>100</v>
      </c>
      <c r="AE28" s="3">
        <v>12</v>
      </c>
      <c r="AF28" s="13">
        <f t="shared" si="16"/>
        <v>8.3999999999999986</v>
      </c>
      <c r="AG28" s="18">
        <f t="shared" si="17"/>
        <v>35.4</v>
      </c>
      <c r="AH28" s="15" t="str">
        <f t="shared" si="18"/>
        <v>Beginner</v>
      </c>
      <c r="AI28" s="16" t="str">
        <f t="shared" si="3"/>
        <v>31st</v>
      </c>
      <c r="AJ28" s="13">
        <v>30</v>
      </c>
      <c r="AK28" s="3">
        <v>56</v>
      </c>
      <c r="AL28" s="3">
        <v>39.199999999999996</v>
      </c>
      <c r="AM28" s="17">
        <v>69.199999999999989</v>
      </c>
      <c r="AN28" s="15" t="str">
        <f t="shared" si="19"/>
        <v>Developing</v>
      </c>
      <c r="AO28" s="16" t="str">
        <f t="shared" si="4"/>
        <v>28th</v>
      </c>
      <c r="AP28" s="13">
        <v>30</v>
      </c>
      <c r="AQ28" s="3">
        <v>21</v>
      </c>
      <c r="AR28" s="3">
        <v>14.7</v>
      </c>
      <c r="AS28" s="18">
        <f t="shared" si="32"/>
        <v>44.7</v>
      </c>
      <c r="AT28" s="15" t="str">
        <f t="shared" si="21"/>
        <v>Beginner</v>
      </c>
      <c r="AU28" s="16" t="str">
        <f t="shared" si="22"/>
        <v>31st</v>
      </c>
      <c r="AV28" s="13">
        <v>25</v>
      </c>
      <c r="AW28" s="39">
        <v>24</v>
      </c>
      <c r="AX28" s="3">
        <v>16.799999999999997</v>
      </c>
      <c r="AY28" s="19">
        <v>41.8</v>
      </c>
      <c r="AZ28" s="15" t="str">
        <f t="shared" si="23"/>
        <v>Beginner</v>
      </c>
      <c r="BA28" s="16" t="str">
        <f t="shared" si="5"/>
        <v>31st</v>
      </c>
      <c r="BB28" s="13">
        <v>30</v>
      </c>
      <c r="BC28" s="4">
        <v>25</v>
      </c>
      <c r="BD28" s="3">
        <v>17.5</v>
      </c>
      <c r="BE28" s="19">
        <v>47.5</v>
      </c>
      <c r="BF28" s="15" t="str">
        <f t="shared" si="24"/>
        <v>Beginner</v>
      </c>
      <c r="BG28" s="16" t="str">
        <f t="shared" si="25"/>
        <v>31st</v>
      </c>
      <c r="BH28" s="6">
        <f t="shared" si="26"/>
        <v>358</v>
      </c>
      <c r="BI28" s="46" t="str">
        <f t="shared" si="27"/>
        <v>31st</v>
      </c>
    </row>
    <row r="29" spans="1:61" ht="20.25">
      <c r="A29" s="1" t="s">
        <v>46</v>
      </c>
      <c r="B29" s="13">
        <v>25</v>
      </c>
      <c r="C29" s="13">
        <f t="shared" si="6"/>
        <v>38.5</v>
      </c>
      <c r="D29" s="3">
        <v>55</v>
      </c>
      <c r="E29" s="14">
        <f t="shared" si="0"/>
        <v>63.5</v>
      </c>
      <c r="F29" s="15" t="str">
        <f t="shared" si="7"/>
        <v>Beginner</v>
      </c>
      <c r="G29" s="16" t="str">
        <f t="shared" si="8"/>
        <v>11th</v>
      </c>
      <c r="H29" s="13">
        <v>28</v>
      </c>
      <c r="I29" s="13">
        <v>100</v>
      </c>
      <c r="J29" s="3">
        <v>43</v>
      </c>
      <c r="K29" s="13">
        <f t="shared" si="9"/>
        <v>30.099999999999998</v>
      </c>
      <c r="L29" s="17">
        <f t="shared" si="1"/>
        <v>58.099999999999994</v>
      </c>
      <c r="M29" s="15" t="str">
        <f t="shared" si="10"/>
        <v>Beginner</v>
      </c>
      <c r="N29" s="16" t="str">
        <f t="shared" si="11"/>
        <v>16th</v>
      </c>
      <c r="O29" s="13">
        <v>28</v>
      </c>
      <c r="P29" s="13">
        <v>100</v>
      </c>
      <c r="Q29" s="3">
        <v>32</v>
      </c>
      <c r="R29" s="3">
        <v>22.4</v>
      </c>
      <c r="S29" s="17">
        <f t="shared" si="12"/>
        <v>50.4</v>
      </c>
      <c r="T29" s="15" t="str">
        <f t="shared" si="13"/>
        <v>Beginner</v>
      </c>
      <c r="U29" s="16" t="str">
        <f t="shared" si="2"/>
        <v>22nd</v>
      </c>
      <c r="V29" s="3">
        <v>27</v>
      </c>
      <c r="W29" s="3">
        <v>100</v>
      </c>
      <c r="X29" s="3">
        <f t="shared" si="28"/>
        <v>40.599999999999994</v>
      </c>
      <c r="Y29" s="39">
        <v>58</v>
      </c>
      <c r="Z29" s="32">
        <f t="shared" si="29"/>
        <v>67.599999999999994</v>
      </c>
      <c r="AA29" s="42" t="str">
        <f t="shared" si="14"/>
        <v>Developing</v>
      </c>
      <c r="AB29" s="16" t="str">
        <f t="shared" si="15"/>
        <v>11th</v>
      </c>
      <c r="AC29" s="13">
        <v>25</v>
      </c>
      <c r="AD29" s="3">
        <v>100</v>
      </c>
      <c r="AE29" s="3">
        <v>40</v>
      </c>
      <c r="AF29" s="13">
        <f t="shared" si="16"/>
        <v>28</v>
      </c>
      <c r="AG29" s="18">
        <f t="shared" si="17"/>
        <v>53</v>
      </c>
      <c r="AH29" s="15" t="str">
        <f t="shared" si="18"/>
        <v>Beginner</v>
      </c>
      <c r="AI29" s="16" t="str">
        <f t="shared" si="3"/>
        <v>20th</v>
      </c>
      <c r="AJ29" s="13">
        <v>30</v>
      </c>
      <c r="AK29" s="3">
        <v>68</v>
      </c>
      <c r="AL29" s="3">
        <v>47.599999999999994</v>
      </c>
      <c r="AM29" s="17">
        <v>77.599999999999994</v>
      </c>
      <c r="AN29" s="15" t="str">
        <f t="shared" si="19"/>
        <v>Proficiency</v>
      </c>
      <c r="AO29" s="16" t="str">
        <f t="shared" si="4"/>
        <v>22nd</v>
      </c>
      <c r="AP29" s="13">
        <v>30</v>
      </c>
      <c r="AQ29" s="3">
        <v>66</v>
      </c>
      <c r="AR29" s="3">
        <v>46.199999999999996</v>
      </c>
      <c r="AS29" s="18">
        <f t="shared" si="32"/>
        <v>76.199999999999989</v>
      </c>
      <c r="AT29" s="15" t="str">
        <f t="shared" si="21"/>
        <v>Proficiency</v>
      </c>
      <c r="AU29" s="16" t="str">
        <f t="shared" si="22"/>
        <v>9th</v>
      </c>
      <c r="AV29" s="13">
        <v>28</v>
      </c>
      <c r="AW29" s="39">
        <v>37</v>
      </c>
      <c r="AX29" s="3">
        <v>25.9</v>
      </c>
      <c r="AY29" s="19">
        <v>53.9</v>
      </c>
      <c r="AZ29" s="15" t="str">
        <f t="shared" si="23"/>
        <v>Beginner</v>
      </c>
      <c r="BA29" s="16" t="str">
        <f t="shared" si="5"/>
        <v>25th</v>
      </c>
      <c r="BB29" s="13">
        <v>30</v>
      </c>
      <c r="BC29" s="4">
        <v>62</v>
      </c>
      <c r="BD29" s="3">
        <v>43.4</v>
      </c>
      <c r="BE29" s="19">
        <v>73.400000000000006</v>
      </c>
      <c r="BF29" s="15" t="str">
        <f t="shared" si="24"/>
        <v>AP</v>
      </c>
      <c r="BG29" s="16" t="str">
        <f t="shared" si="25"/>
        <v>12th</v>
      </c>
      <c r="BH29" s="6">
        <f t="shared" si="26"/>
        <v>573.69999999999993</v>
      </c>
      <c r="BI29" s="46" t="str">
        <f t="shared" si="27"/>
        <v>13th</v>
      </c>
    </row>
    <row r="30" spans="1:61" ht="20.25">
      <c r="A30" s="1" t="s">
        <v>47</v>
      </c>
      <c r="B30" s="13">
        <v>25</v>
      </c>
      <c r="C30" s="13">
        <f t="shared" si="6"/>
        <v>7</v>
      </c>
      <c r="D30" s="3">
        <v>10</v>
      </c>
      <c r="E30" s="14">
        <f t="shared" si="0"/>
        <v>32</v>
      </c>
      <c r="F30" s="15" t="str">
        <f t="shared" si="7"/>
        <v>Beginner</v>
      </c>
      <c r="G30" s="16" t="str">
        <f t="shared" si="8"/>
        <v>24th</v>
      </c>
      <c r="H30" s="13">
        <v>28</v>
      </c>
      <c r="I30" s="13">
        <v>100</v>
      </c>
      <c r="J30" s="3">
        <v>41</v>
      </c>
      <c r="K30" s="13">
        <f t="shared" si="9"/>
        <v>28.7</v>
      </c>
      <c r="L30" s="17">
        <f t="shared" si="1"/>
        <v>56.7</v>
      </c>
      <c r="M30" s="15" t="str">
        <f t="shared" si="10"/>
        <v>Beginner</v>
      </c>
      <c r="N30" s="16" t="str">
        <f t="shared" si="11"/>
        <v>19th</v>
      </c>
      <c r="O30" s="13">
        <v>25</v>
      </c>
      <c r="P30" s="13">
        <v>100</v>
      </c>
      <c r="Q30" s="3">
        <v>41</v>
      </c>
      <c r="R30" s="3">
        <v>28.7</v>
      </c>
      <c r="S30" s="17">
        <f t="shared" si="12"/>
        <v>53.7</v>
      </c>
      <c r="T30" s="15" t="str">
        <f t="shared" si="13"/>
        <v>Beginner</v>
      </c>
      <c r="U30" s="16" t="str">
        <f t="shared" si="2"/>
        <v>18th</v>
      </c>
      <c r="V30" s="3">
        <v>28</v>
      </c>
      <c r="W30" s="3">
        <v>100</v>
      </c>
      <c r="X30" s="3">
        <f t="shared" si="28"/>
        <v>31.499999999999996</v>
      </c>
      <c r="Y30" s="39">
        <v>45</v>
      </c>
      <c r="Z30" s="32">
        <f t="shared" si="29"/>
        <v>59.5</v>
      </c>
      <c r="AA30" s="42" t="str">
        <f t="shared" si="14"/>
        <v>Beginner</v>
      </c>
      <c r="AB30" s="16" t="str">
        <f t="shared" si="15"/>
        <v>17th</v>
      </c>
      <c r="AC30" s="13">
        <v>25</v>
      </c>
      <c r="AD30" s="3">
        <v>100</v>
      </c>
      <c r="AE30" s="3">
        <v>28</v>
      </c>
      <c r="AF30" s="13">
        <f t="shared" si="16"/>
        <v>19.599999999999998</v>
      </c>
      <c r="AG30" s="18">
        <f t="shared" si="17"/>
        <v>44.599999999999994</v>
      </c>
      <c r="AH30" s="15" t="str">
        <f t="shared" si="18"/>
        <v>Beginner</v>
      </c>
      <c r="AI30" s="16" t="str">
        <f t="shared" si="3"/>
        <v>26th</v>
      </c>
      <c r="AJ30" s="13">
        <v>30</v>
      </c>
      <c r="AK30" s="3">
        <v>53</v>
      </c>
      <c r="AL30" s="3">
        <v>37.099999999999994</v>
      </c>
      <c r="AM30" s="17">
        <v>67.099999999999994</v>
      </c>
      <c r="AN30" s="15" t="str">
        <f t="shared" si="19"/>
        <v>Developing</v>
      </c>
      <c r="AO30" s="16" t="str">
        <f t="shared" si="4"/>
        <v>30th</v>
      </c>
      <c r="AP30" s="13">
        <v>30</v>
      </c>
      <c r="AQ30" s="3">
        <v>49</v>
      </c>
      <c r="AR30" s="3">
        <v>34.299999999999997</v>
      </c>
      <c r="AS30" s="18">
        <f t="shared" si="32"/>
        <v>64.3</v>
      </c>
      <c r="AT30" s="15" t="str">
        <f t="shared" si="21"/>
        <v>Beginner</v>
      </c>
      <c r="AU30" s="16" t="str">
        <f t="shared" si="22"/>
        <v>21st</v>
      </c>
      <c r="AV30" s="13">
        <v>28</v>
      </c>
      <c r="AW30" s="39">
        <v>35</v>
      </c>
      <c r="AX30" s="3">
        <v>24.5</v>
      </c>
      <c r="AY30" s="19">
        <v>52.5</v>
      </c>
      <c r="AZ30" s="15" t="str">
        <f t="shared" si="23"/>
        <v>Beginner</v>
      </c>
      <c r="BA30" s="16" t="str">
        <f t="shared" si="5"/>
        <v>27th</v>
      </c>
      <c r="BB30" s="13">
        <v>30</v>
      </c>
      <c r="BC30" s="4">
        <v>56</v>
      </c>
      <c r="BD30" s="3">
        <v>39.199999999999996</v>
      </c>
      <c r="BE30" s="19">
        <v>69.199999999999989</v>
      </c>
      <c r="BF30" s="15" t="str">
        <f t="shared" si="24"/>
        <v>Developing</v>
      </c>
      <c r="BG30" s="16" t="str">
        <f t="shared" si="25"/>
        <v>18th</v>
      </c>
      <c r="BH30" s="6">
        <f t="shared" si="26"/>
        <v>499.59999999999997</v>
      </c>
      <c r="BI30" s="46" t="str">
        <f t="shared" si="27"/>
        <v>26th</v>
      </c>
    </row>
    <row r="31" spans="1:61" ht="20.25">
      <c r="A31" s="1" t="s">
        <v>48</v>
      </c>
      <c r="B31" s="13">
        <v>25</v>
      </c>
      <c r="C31" s="13">
        <f t="shared" si="6"/>
        <v>28</v>
      </c>
      <c r="D31" s="3">
        <v>40</v>
      </c>
      <c r="E31" s="14">
        <f t="shared" si="0"/>
        <v>53</v>
      </c>
      <c r="F31" s="15" t="str">
        <f t="shared" si="7"/>
        <v>Beginner</v>
      </c>
      <c r="G31" s="16" t="str">
        <f t="shared" si="8"/>
        <v>16th</v>
      </c>
      <c r="H31" s="13">
        <v>28</v>
      </c>
      <c r="I31" s="13">
        <v>100</v>
      </c>
      <c r="J31" s="3">
        <v>44</v>
      </c>
      <c r="K31" s="13">
        <f t="shared" si="9"/>
        <v>30.799999999999997</v>
      </c>
      <c r="L31" s="17">
        <f t="shared" si="1"/>
        <v>58.8</v>
      </c>
      <c r="M31" s="15" t="str">
        <f t="shared" si="10"/>
        <v>Beginner</v>
      </c>
      <c r="N31" s="16" t="str">
        <f t="shared" si="11"/>
        <v>15th</v>
      </c>
      <c r="O31" s="13">
        <v>15</v>
      </c>
      <c r="P31" s="13">
        <v>100</v>
      </c>
      <c r="Q31" s="3">
        <v>35</v>
      </c>
      <c r="R31" s="3">
        <v>24.5</v>
      </c>
      <c r="S31" s="17">
        <f t="shared" si="12"/>
        <v>39.5</v>
      </c>
      <c r="T31" s="15" t="str">
        <f t="shared" si="13"/>
        <v>Beginner</v>
      </c>
      <c r="U31" s="16" t="str">
        <f t="shared" si="2"/>
        <v>28th</v>
      </c>
      <c r="V31" s="3">
        <v>26</v>
      </c>
      <c r="W31" s="3">
        <v>100</v>
      </c>
      <c r="X31" s="3">
        <f t="shared" si="28"/>
        <v>28</v>
      </c>
      <c r="Y31" s="39">
        <v>40</v>
      </c>
      <c r="Z31" s="32">
        <f t="shared" si="29"/>
        <v>54</v>
      </c>
      <c r="AA31" s="42" t="str">
        <f t="shared" si="14"/>
        <v>Beginner</v>
      </c>
      <c r="AB31" s="16" t="str">
        <f t="shared" si="15"/>
        <v>23rd</v>
      </c>
      <c r="AC31" s="13">
        <v>20</v>
      </c>
      <c r="AD31" s="3">
        <v>100</v>
      </c>
      <c r="AE31" s="3">
        <v>25</v>
      </c>
      <c r="AF31" s="13">
        <f t="shared" si="16"/>
        <v>17.5</v>
      </c>
      <c r="AG31" s="18">
        <f t="shared" si="17"/>
        <v>37.5</v>
      </c>
      <c r="AH31" s="15" t="str">
        <f t="shared" si="18"/>
        <v>Beginner</v>
      </c>
      <c r="AI31" s="16" t="str">
        <f t="shared" si="3"/>
        <v>29th</v>
      </c>
      <c r="AJ31" s="13">
        <v>30</v>
      </c>
      <c r="AK31" s="3">
        <v>69</v>
      </c>
      <c r="AL31" s="3">
        <v>48.3</v>
      </c>
      <c r="AM31" s="17">
        <v>78.3</v>
      </c>
      <c r="AN31" s="15" t="str">
        <f t="shared" si="19"/>
        <v>Proficiency</v>
      </c>
      <c r="AO31" s="16" t="str">
        <f t="shared" si="4"/>
        <v>21st</v>
      </c>
      <c r="AP31" s="13">
        <v>30</v>
      </c>
      <c r="AQ31" s="3">
        <v>64</v>
      </c>
      <c r="AR31" s="3">
        <v>44.8</v>
      </c>
      <c r="AS31" s="18">
        <f>AP31+AR31</f>
        <v>74.8</v>
      </c>
      <c r="AT31" s="15" t="str">
        <f t="shared" si="21"/>
        <v>AP</v>
      </c>
      <c r="AU31" s="16" t="str">
        <f t="shared" si="22"/>
        <v>14th</v>
      </c>
      <c r="AV31" s="13">
        <v>28</v>
      </c>
      <c r="AW31" s="39">
        <v>55</v>
      </c>
      <c r="AX31" s="3">
        <v>38.5</v>
      </c>
      <c r="AY31" s="19">
        <v>66.5</v>
      </c>
      <c r="AZ31" s="15" t="str">
        <f t="shared" si="23"/>
        <v>Developing</v>
      </c>
      <c r="BA31" s="16" t="str">
        <f t="shared" si="5"/>
        <v>15th</v>
      </c>
      <c r="BB31" s="13">
        <v>30</v>
      </c>
      <c r="BC31" s="4">
        <v>58</v>
      </c>
      <c r="BD31" s="3">
        <v>40.599999999999994</v>
      </c>
      <c r="BE31" s="19">
        <v>70.599999999999994</v>
      </c>
      <c r="BF31" s="15" t="str">
        <f t="shared" si="24"/>
        <v>AP</v>
      </c>
      <c r="BG31" s="16" t="str">
        <f t="shared" si="25"/>
        <v>15th</v>
      </c>
      <c r="BH31" s="6">
        <f t="shared" si="26"/>
        <v>533</v>
      </c>
      <c r="BI31" s="46" t="str">
        <f t="shared" si="27"/>
        <v>20th</v>
      </c>
    </row>
    <row r="32" spans="1:61" ht="20.25">
      <c r="A32" s="1" t="s">
        <v>49</v>
      </c>
      <c r="B32" s="13">
        <v>24</v>
      </c>
      <c r="C32" s="13">
        <f t="shared" si="6"/>
        <v>3.5</v>
      </c>
      <c r="D32" s="3">
        <v>5</v>
      </c>
      <c r="E32" s="14">
        <f t="shared" si="0"/>
        <v>27.5</v>
      </c>
      <c r="F32" s="15" t="str">
        <f t="shared" si="7"/>
        <v>Beginner</v>
      </c>
      <c r="G32" s="16" t="str">
        <f t="shared" si="8"/>
        <v>27th</v>
      </c>
      <c r="H32" s="13">
        <v>27</v>
      </c>
      <c r="I32" s="13">
        <v>100</v>
      </c>
      <c r="J32" s="3">
        <v>39</v>
      </c>
      <c r="K32" s="13">
        <f t="shared" si="9"/>
        <v>27.299999999999997</v>
      </c>
      <c r="L32" s="17">
        <f t="shared" si="1"/>
        <v>54.3</v>
      </c>
      <c r="M32" s="15" t="str">
        <f t="shared" si="10"/>
        <v>Beginner</v>
      </c>
      <c r="N32" s="16" t="str">
        <f t="shared" si="11"/>
        <v>24th</v>
      </c>
      <c r="O32" s="13">
        <v>20</v>
      </c>
      <c r="P32" s="13">
        <v>100</v>
      </c>
      <c r="Q32" s="3">
        <v>34</v>
      </c>
      <c r="R32" s="3">
        <v>23.799999999999997</v>
      </c>
      <c r="S32" s="17">
        <f t="shared" si="12"/>
        <v>43.8</v>
      </c>
      <c r="T32" s="15" t="str">
        <f t="shared" si="13"/>
        <v>Beginner</v>
      </c>
      <c r="U32" s="16" t="str">
        <f t="shared" si="2"/>
        <v>25th</v>
      </c>
      <c r="V32" s="3">
        <v>26</v>
      </c>
      <c r="W32" s="3">
        <v>100</v>
      </c>
      <c r="X32" s="3">
        <f t="shared" si="28"/>
        <v>39.199999999999996</v>
      </c>
      <c r="Y32" s="39">
        <v>56</v>
      </c>
      <c r="Z32" s="32">
        <f t="shared" si="29"/>
        <v>65.199999999999989</v>
      </c>
      <c r="AA32" s="42" t="str">
        <f t="shared" si="14"/>
        <v>Developing</v>
      </c>
      <c r="AB32" s="16" t="str">
        <f t="shared" si="15"/>
        <v>14th</v>
      </c>
      <c r="AC32" s="13">
        <v>25</v>
      </c>
      <c r="AD32" s="3">
        <v>100</v>
      </c>
      <c r="AE32" s="3">
        <v>17</v>
      </c>
      <c r="AF32" s="13">
        <f t="shared" si="16"/>
        <v>11.899999999999999</v>
      </c>
      <c r="AG32" s="18">
        <f t="shared" si="17"/>
        <v>36.9</v>
      </c>
      <c r="AH32" s="15" t="str">
        <f t="shared" si="18"/>
        <v>Beginner</v>
      </c>
      <c r="AI32" s="16" t="str">
        <f t="shared" si="3"/>
        <v>30th</v>
      </c>
      <c r="AJ32" s="13">
        <v>30</v>
      </c>
      <c r="AK32" s="3">
        <v>55</v>
      </c>
      <c r="AL32" s="3">
        <v>38.5</v>
      </c>
      <c r="AM32" s="17">
        <v>68.5</v>
      </c>
      <c r="AN32" s="15" t="str">
        <f t="shared" si="19"/>
        <v>Developing</v>
      </c>
      <c r="AO32" s="16" t="str">
        <f t="shared" si="4"/>
        <v>29th</v>
      </c>
      <c r="AP32" s="13">
        <v>30</v>
      </c>
      <c r="AQ32" s="3">
        <v>35</v>
      </c>
      <c r="AR32" s="3">
        <v>24.5</v>
      </c>
      <c r="AS32" s="18">
        <f t="shared" ref="AS32:AS34" si="33">AP32+AR32</f>
        <v>54.5</v>
      </c>
      <c r="AT32" s="15" t="str">
        <f t="shared" si="21"/>
        <v>Beginner</v>
      </c>
      <c r="AU32" s="16" t="str">
        <f t="shared" si="22"/>
        <v>27th</v>
      </c>
      <c r="AV32" s="13">
        <v>27</v>
      </c>
      <c r="AW32" s="39">
        <v>37</v>
      </c>
      <c r="AX32" s="3">
        <v>25.9</v>
      </c>
      <c r="AY32" s="19">
        <v>52.9</v>
      </c>
      <c r="AZ32" s="15" t="str">
        <f t="shared" si="23"/>
        <v>Beginner</v>
      </c>
      <c r="BA32" s="16" t="str">
        <f t="shared" si="5"/>
        <v>26th</v>
      </c>
      <c r="BB32" s="13">
        <v>30</v>
      </c>
      <c r="BC32" s="4">
        <v>47</v>
      </c>
      <c r="BD32" s="3">
        <v>32.9</v>
      </c>
      <c r="BE32" s="19">
        <v>62.9</v>
      </c>
      <c r="BF32" s="15" t="str">
        <f t="shared" si="24"/>
        <v>Beginner</v>
      </c>
      <c r="BG32" s="16" t="str">
        <f t="shared" si="25"/>
        <v>24th</v>
      </c>
      <c r="BH32" s="6">
        <f t="shared" si="26"/>
        <v>466.49999999999994</v>
      </c>
      <c r="BI32" s="46" t="str">
        <f t="shared" si="27"/>
        <v>29th</v>
      </c>
    </row>
    <row r="33" spans="1:61" ht="20.25">
      <c r="A33" s="1" t="s">
        <v>50</v>
      </c>
      <c r="B33" s="13">
        <v>24</v>
      </c>
      <c r="C33" s="13">
        <f t="shared" si="6"/>
        <v>0</v>
      </c>
      <c r="D33" s="3">
        <v>0</v>
      </c>
      <c r="E33" s="14">
        <f t="shared" si="0"/>
        <v>24</v>
      </c>
      <c r="F33" s="15" t="str">
        <f t="shared" si="7"/>
        <v>Beginner</v>
      </c>
      <c r="G33" s="16" t="str">
        <f t="shared" si="8"/>
        <v>29th</v>
      </c>
      <c r="H33" s="13">
        <v>27</v>
      </c>
      <c r="I33" s="13">
        <v>100</v>
      </c>
      <c r="J33" s="3">
        <v>32</v>
      </c>
      <c r="K33" s="13">
        <f t="shared" si="9"/>
        <v>22.4</v>
      </c>
      <c r="L33" s="17">
        <f t="shared" si="1"/>
        <v>49.4</v>
      </c>
      <c r="M33" s="15" t="str">
        <f t="shared" si="10"/>
        <v>Beginner</v>
      </c>
      <c r="N33" s="16" t="str">
        <f t="shared" si="11"/>
        <v>28th</v>
      </c>
      <c r="O33" s="13">
        <v>22</v>
      </c>
      <c r="P33" s="13">
        <v>100</v>
      </c>
      <c r="Q33" s="3">
        <v>20</v>
      </c>
      <c r="R33" s="3">
        <v>14</v>
      </c>
      <c r="S33" s="17">
        <f t="shared" si="12"/>
        <v>36</v>
      </c>
      <c r="T33" s="15" t="str">
        <f t="shared" si="13"/>
        <v>Beginner</v>
      </c>
      <c r="U33" s="16" t="str">
        <f t="shared" si="2"/>
        <v>29th</v>
      </c>
      <c r="V33" s="3">
        <v>26</v>
      </c>
      <c r="W33" s="3">
        <v>100</v>
      </c>
      <c r="X33" s="3">
        <f t="shared" si="28"/>
        <v>28</v>
      </c>
      <c r="Y33" s="39">
        <v>40</v>
      </c>
      <c r="Z33" s="32">
        <f t="shared" si="29"/>
        <v>54</v>
      </c>
      <c r="AA33" s="42" t="str">
        <f t="shared" si="14"/>
        <v>Beginner</v>
      </c>
      <c r="AB33" s="16" t="str">
        <f t="shared" si="15"/>
        <v>23rd</v>
      </c>
      <c r="AC33" s="13">
        <v>26</v>
      </c>
      <c r="AD33" s="3">
        <v>100</v>
      </c>
      <c r="AE33" s="3">
        <v>40</v>
      </c>
      <c r="AF33" s="13">
        <f t="shared" si="16"/>
        <v>28</v>
      </c>
      <c r="AG33" s="18">
        <f t="shared" si="17"/>
        <v>54</v>
      </c>
      <c r="AH33" s="15" t="str">
        <f t="shared" si="18"/>
        <v>Beginner</v>
      </c>
      <c r="AI33" s="16" t="str">
        <f t="shared" si="3"/>
        <v>19th</v>
      </c>
      <c r="AJ33" s="13">
        <v>30</v>
      </c>
      <c r="AK33" s="3">
        <v>67</v>
      </c>
      <c r="AL33" s="3">
        <v>46.9</v>
      </c>
      <c r="AM33" s="17">
        <v>76.900000000000006</v>
      </c>
      <c r="AN33" s="15" t="str">
        <f t="shared" si="19"/>
        <v>Proficiency</v>
      </c>
      <c r="AO33" s="16" t="str">
        <f t="shared" si="4"/>
        <v>24th</v>
      </c>
      <c r="AP33" s="13">
        <v>30</v>
      </c>
      <c r="AQ33" s="3">
        <v>49</v>
      </c>
      <c r="AR33" s="3">
        <v>34.299999999999997</v>
      </c>
      <c r="AS33" s="18">
        <f t="shared" si="33"/>
        <v>64.3</v>
      </c>
      <c r="AT33" s="15" t="str">
        <f t="shared" si="21"/>
        <v>Beginner</v>
      </c>
      <c r="AU33" s="16" t="str">
        <f t="shared" si="22"/>
        <v>21st</v>
      </c>
      <c r="AV33" s="13">
        <v>27</v>
      </c>
      <c r="AW33" s="39">
        <v>46</v>
      </c>
      <c r="AX33" s="3">
        <v>32.199999999999996</v>
      </c>
      <c r="AY33" s="19">
        <v>59.199999999999996</v>
      </c>
      <c r="AZ33" s="15" t="str">
        <f t="shared" si="23"/>
        <v>Beginner</v>
      </c>
      <c r="BA33" s="16" t="str">
        <f t="shared" si="5"/>
        <v>20th</v>
      </c>
      <c r="BB33" s="13">
        <v>30</v>
      </c>
      <c r="BC33" s="4">
        <v>47</v>
      </c>
      <c r="BD33" s="3">
        <v>32.9</v>
      </c>
      <c r="BE33" s="19">
        <v>62.9</v>
      </c>
      <c r="BF33" s="15" t="str">
        <f t="shared" si="24"/>
        <v>Beginner</v>
      </c>
      <c r="BG33" s="16" t="str">
        <f t="shared" si="25"/>
        <v>24th</v>
      </c>
      <c r="BH33" s="6">
        <f t="shared" si="26"/>
        <v>480.69999999999993</v>
      </c>
      <c r="BI33" s="46" t="str">
        <f t="shared" si="27"/>
        <v>28th</v>
      </c>
    </row>
    <row r="34" spans="1:61" ht="20.25">
      <c r="A34" s="1" t="s">
        <v>51</v>
      </c>
      <c r="B34" s="13">
        <v>25</v>
      </c>
      <c r="C34" s="13">
        <f t="shared" si="6"/>
        <v>14</v>
      </c>
      <c r="D34" s="3">
        <v>20</v>
      </c>
      <c r="E34" s="14">
        <f t="shared" si="0"/>
        <v>39</v>
      </c>
      <c r="F34" s="15" t="str">
        <f t="shared" si="7"/>
        <v>Beginner</v>
      </c>
      <c r="G34" s="16" t="str">
        <f t="shared" si="8"/>
        <v>21st</v>
      </c>
      <c r="H34" s="13">
        <v>28</v>
      </c>
      <c r="I34" s="13">
        <v>100</v>
      </c>
      <c r="J34" s="3">
        <v>42</v>
      </c>
      <c r="K34" s="13">
        <f t="shared" si="9"/>
        <v>29.4</v>
      </c>
      <c r="L34" s="17">
        <f t="shared" si="1"/>
        <v>57.4</v>
      </c>
      <c r="M34" s="15" t="str">
        <f t="shared" si="10"/>
        <v>Beginner</v>
      </c>
      <c r="N34" s="16" t="str">
        <f t="shared" si="11"/>
        <v>17th</v>
      </c>
      <c r="O34" s="13">
        <v>27</v>
      </c>
      <c r="P34" s="13">
        <v>100</v>
      </c>
      <c r="Q34" s="3">
        <v>55</v>
      </c>
      <c r="R34" s="3">
        <v>38.5</v>
      </c>
      <c r="S34" s="17">
        <f t="shared" si="12"/>
        <v>65.5</v>
      </c>
      <c r="T34" s="15" t="str">
        <f t="shared" si="13"/>
        <v>Developing</v>
      </c>
      <c r="U34" s="16" t="str">
        <f t="shared" si="2"/>
        <v>11th</v>
      </c>
      <c r="V34" s="3">
        <v>25</v>
      </c>
      <c r="W34" s="3">
        <v>100</v>
      </c>
      <c r="X34" s="3">
        <f t="shared" si="28"/>
        <v>31.499999999999996</v>
      </c>
      <c r="Y34" s="39">
        <v>45</v>
      </c>
      <c r="Z34" s="32">
        <f t="shared" si="29"/>
        <v>56.5</v>
      </c>
      <c r="AA34" s="42" t="str">
        <f t="shared" si="14"/>
        <v>Beginner</v>
      </c>
      <c r="AB34" s="16" t="str">
        <f t="shared" si="15"/>
        <v>21st</v>
      </c>
      <c r="AC34" s="13">
        <v>30</v>
      </c>
      <c r="AD34" s="3">
        <v>100</v>
      </c>
      <c r="AE34" s="3">
        <v>53</v>
      </c>
      <c r="AF34" s="13">
        <f t="shared" si="16"/>
        <v>37.099999999999994</v>
      </c>
      <c r="AG34" s="18">
        <f t="shared" si="17"/>
        <v>67.099999999999994</v>
      </c>
      <c r="AH34" s="15" t="str">
        <f t="shared" si="18"/>
        <v>Developing</v>
      </c>
      <c r="AI34" s="16" t="str">
        <f t="shared" si="3"/>
        <v>11th</v>
      </c>
      <c r="AJ34" s="13">
        <v>30</v>
      </c>
      <c r="AK34" s="3">
        <v>76</v>
      </c>
      <c r="AL34" s="3">
        <v>53.199999999999996</v>
      </c>
      <c r="AM34" s="17">
        <v>83.199999999999989</v>
      </c>
      <c r="AN34" s="15" t="str">
        <f t="shared" si="19"/>
        <v>Advanced</v>
      </c>
      <c r="AO34" s="16" t="str">
        <f t="shared" si="4"/>
        <v>14th</v>
      </c>
      <c r="AP34" s="13">
        <v>30</v>
      </c>
      <c r="AQ34" s="3">
        <v>34</v>
      </c>
      <c r="AR34" s="3">
        <v>23.799999999999997</v>
      </c>
      <c r="AS34" s="18">
        <f t="shared" si="33"/>
        <v>53.8</v>
      </c>
      <c r="AT34" s="15" t="str">
        <f t="shared" si="21"/>
        <v>Beginner</v>
      </c>
      <c r="AU34" s="16" t="str">
        <f t="shared" si="22"/>
        <v>28th</v>
      </c>
      <c r="AV34" s="13">
        <v>28</v>
      </c>
      <c r="AW34" s="39">
        <v>44</v>
      </c>
      <c r="AX34" s="3">
        <v>30.799999999999997</v>
      </c>
      <c r="AY34" s="19">
        <v>58.8</v>
      </c>
      <c r="AZ34" s="15" t="str">
        <f t="shared" si="23"/>
        <v>Beginner</v>
      </c>
      <c r="BA34" s="16" t="str">
        <f t="shared" si="5"/>
        <v>21st</v>
      </c>
      <c r="BB34" s="13">
        <v>30</v>
      </c>
      <c r="BC34" s="4">
        <v>58</v>
      </c>
      <c r="BD34" s="3">
        <v>40.599999999999994</v>
      </c>
      <c r="BE34" s="19">
        <v>70.599999999999994</v>
      </c>
      <c r="BF34" s="15" t="str">
        <f t="shared" si="24"/>
        <v>AP</v>
      </c>
      <c r="BG34" s="16" t="str">
        <f t="shared" si="25"/>
        <v>15th</v>
      </c>
      <c r="BH34" s="6">
        <f t="shared" si="26"/>
        <v>551.9</v>
      </c>
      <c r="BI34" s="46" t="str">
        <f t="shared" si="27"/>
        <v>17th</v>
      </c>
    </row>
    <row r="35" spans="1:61" ht="20.25">
      <c r="A35" s="1"/>
      <c r="B35" s="13"/>
      <c r="C35" s="13">
        <f t="shared" si="6"/>
        <v>0</v>
      </c>
      <c r="D35" s="28"/>
      <c r="E35" s="14"/>
      <c r="F35" s="15"/>
      <c r="G35" s="16"/>
      <c r="H35" s="13"/>
      <c r="I35" s="13">
        <v>100</v>
      </c>
      <c r="J35" s="3"/>
      <c r="K35" s="13">
        <f t="shared" si="9"/>
        <v>0</v>
      </c>
      <c r="L35" s="17"/>
      <c r="M35" s="15"/>
      <c r="N35" s="16"/>
      <c r="O35" s="13"/>
      <c r="P35" s="13"/>
      <c r="Q35" s="3"/>
      <c r="R35" s="3">
        <v>0</v>
      </c>
      <c r="S35" s="17"/>
      <c r="T35" s="15"/>
      <c r="U35" s="16"/>
      <c r="V35" s="28"/>
      <c r="W35" s="3">
        <v>100</v>
      </c>
      <c r="X35" s="28"/>
      <c r="Y35" s="39"/>
      <c r="Z35" s="32"/>
      <c r="AA35" s="30"/>
      <c r="AB35" s="16"/>
      <c r="AC35" s="13"/>
      <c r="AD35" s="3"/>
      <c r="AE35" s="3"/>
      <c r="AF35" s="13"/>
      <c r="AG35" s="18"/>
      <c r="AH35" s="15"/>
      <c r="AI35" s="16"/>
      <c r="AJ35" s="13"/>
      <c r="AK35" s="3"/>
      <c r="AL35" s="3">
        <v>0</v>
      </c>
      <c r="AM35" s="17">
        <v>0</v>
      </c>
      <c r="AN35" s="15"/>
      <c r="AO35" s="16"/>
      <c r="AP35" s="13"/>
      <c r="AQ35" s="3"/>
      <c r="AR35" s="3">
        <v>0</v>
      </c>
      <c r="AS35" s="18"/>
      <c r="AT35" s="15"/>
      <c r="AU35" s="16"/>
      <c r="AV35" s="13"/>
      <c r="AW35" s="4"/>
      <c r="AX35" s="3">
        <v>0</v>
      </c>
      <c r="AY35" s="19">
        <v>0</v>
      </c>
      <c r="AZ35" s="15"/>
      <c r="BA35" s="16"/>
      <c r="BB35" s="16"/>
      <c r="BC35" s="16"/>
      <c r="BD35" s="16">
        <v>0</v>
      </c>
      <c r="BE35" s="16">
        <v>0</v>
      </c>
      <c r="BF35" s="16"/>
      <c r="BG35" s="16"/>
      <c r="BH35" s="6"/>
      <c r="BI35" s="27"/>
    </row>
    <row r="36" spans="1:61" ht="20.25">
      <c r="A36" s="1"/>
      <c r="B36" s="13"/>
      <c r="C36" s="13">
        <f t="shared" si="6"/>
        <v>0</v>
      </c>
      <c r="D36" s="28"/>
      <c r="E36" s="14"/>
      <c r="F36" s="15"/>
      <c r="G36" s="16"/>
      <c r="H36" s="13"/>
      <c r="I36" s="13">
        <v>100</v>
      </c>
      <c r="J36" s="3"/>
      <c r="K36" s="13">
        <f t="shared" si="9"/>
        <v>0</v>
      </c>
      <c r="L36" s="17"/>
      <c r="M36" s="15"/>
      <c r="N36" s="16"/>
      <c r="O36" s="13"/>
      <c r="P36" s="13"/>
      <c r="Q36" s="3"/>
      <c r="R36" s="3">
        <v>0</v>
      </c>
      <c r="S36" s="17"/>
      <c r="T36" s="15"/>
      <c r="U36" s="16"/>
      <c r="V36" s="28"/>
      <c r="W36" s="3">
        <v>100</v>
      </c>
      <c r="X36" s="28"/>
      <c r="Y36" s="39"/>
      <c r="Z36" s="32"/>
      <c r="AA36" s="30"/>
      <c r="AB36" s="16"/>
      <c r="AC36" s="13"/>
      <c r="AD36" s="3"/>
      <c r="AE36" s="3"/>
      <c r="AF36" s="13"/>
      <c r="AG36" s="18"/>
      <c r="AH36" s="15"/>
      <c r="AI36" s="16" t="s">
        <v>24</v>
      </c>
      <c r="AJ36" s="13"/>
      <c r="AK36" s="3"/>
      <c r="AL36" s="3">
        <v>0</v>
      </c>
      <c r="AM36" s="17">
        <v>0</v>
      </c>
      <c r="AN36" s="15"/>
      <c r="AO36" s="16"/>
      <c r="AP36" s="13"/>
      <c r="AQ36" s="3"/>
      <c r="AR36" s="3">
        <v>0</v>
      </c>
      <c r="AS36" s="18"/>
      <c r="AT36" s="15"/>
      <c r="AU36" s="16"/>
      <c r="AV36" s="13"/>
      <c r="AW36" s="4"/>
      <c r="AX36" s="3">
        <v>0</v>
      </c>
      <c r="AY36" s="19">
        <v>0</v>
      </c>
      <c r="AZ36" s="15"/>
      <c r="BA36" s="16"/>
      <c r="BB36" s="16"/>
      <c r="BC36" s="16"/>
      <c r="BD36" s="16">
        <v>0</v>
      </c>
      <c r="BE36" s="16">
        <v>0</v>
      </c>
      <c r="BF36" s="16"/>
      <c r="BG36" s="16"/>
      <c r="BH36" s="6"/>
      <c r="BI36" s="27"/>
    </row>
    <row r="37" spans="1:61" ht="20.25">
      <c r="A37" s="1"/>
      <c r="B37" s="13"/>
      <c r="C37" s="13">
        <f t="shared" si="6"/>
        <v>0</v>
      </c>
      <c r="D37" s="28"/>
      <c r="E37" s="14"/>
      <c r="F37" s="15"/>
      <c r="G37" s="16"/>
      <c r="H37" s="13"/>
      <c r="I37" s="13">
        <v>100</v>
      </c>
      <c r="J37" s="3"/>
      <c r="K37" s="13">
        <f t="shared" si="9"/>
        <v>0</v>
      </c>
      <c r="L37" s="17"/>
      <c r="M37" s="15"/>
      <c r="N37" s="16"/>
      <c r="O37" s="13"/>
      <c r="P37" s="13"/>
      <c r="Q37" s="3"/>
      <c r="R37" s="3">
        <v>0</v>
      </c>
      <c r="S37" s="17"/>
      <c r="T37" s="15"/>
      <c r="U37" s="16"/>
      <c r="V37" s="28"/>
      <c r="W37" s="3">
        <v>100</v>
      </c>
      <c r="X37" s="28"/>
      <c r="Y37" s="39"/>
      <c r="Z37" s="32"/>
      <c r="AA37" s="30"/>
      <c r="AB37" s="16"/>
      <c r="AC37" s="13"/>
      <c r="AD37" s="3"/>
      <c r="AE37" s="3"/>
      <c r="AF37" s="13"/>
      <c r="AG37" s="18"/>
      <c r="AH37" s="15"/>
      <c r="AI37" s="16"/>
      <c r="AJ37" s="13"/>
      <c r="AK37" s="3"/>
      <c r="AL37" s="3">
        <v>0</v>
      </c>
      <c r="AM37" s="17">
        <v>0</v>
      </c>
      <c r="AN37" s="15"/>
      <c r="AO37" s="16"/>
      <c r="AP37" s="13"/>
      <c r="AQ37" s="3"/>
      <c r="AR37" s="3">
        <v>0</v>
      </c>
      <c r="AS37" s="18"/>
      <c r="AT37" s="15"/>
      <c r="AU37" s="16"/>
      <c r="AV37" s="13"/>
      <c r="AW37" s="4"/>
      <c r="AX37" s="3">
        <v>0</v>
      </c>
      <c r="AY37" s="19">
        <v>0</v>
      </c>
      <c r="AZ37" s="15"/>
      <c r="BA37" s="16"/>
      <c r="BB37" s="16"/>
      <c r="BC37" s="16"/>
      <c r="BD37" s="16">
        <v>0</v>
      </c>
      <c r="BE37" s="16">
        <v>0</v>
      </c>
      <c r="BF37" s="16"/>
      <c r="BG37" s="16"/>
      <c r="BH37" s="6"/>
      <c r="BI37" s="27"/>
    </row>
    <row r="38" spans="1:61" ht="20.25">
      <c r="A38" s="1"/>
      <c r="B38" s="13"/>
      <c r="C38" s="13">
        <f t="shared" si="6"/>
        <v>0</v>
      </c>
      <c r="D38" s="28"/>
      <c r="E38" s="14"/>
      <c r="F38" s="15"/>
      <c r="G38" s="16"/>
      <c r="H38" s="13"/>
      <c r="I38" s="13">
        <v>100</v>
      </c>
      <c r="J38" s="3"/>
      <c r="K38" s="13">
        <f t="shared" si="9"/>
        <v>0</v>
      </c>
      <c r="L38" s="17"/>
      <c r="M38" s="15"/>
      <c r="N38" s="16"/>
      <c r="O38" s="13"/>
      <c r="P38" s="13"/>
      <c r="Q38" s="3"/>
      <c r="R38" s="3">
        <v>0</v>
      </c>
      <c r="S38" s="17"/>
      <c r="T38" s="15"/>
      <c r="U38" s="16"/>
      <c r="V38" s="28"/>
      <c r="W38" s="3">
        <v>100</v>
      </c>
      <c r="X38" s="28"/>
      <c r="Y38" s="39"/>
      <c r="Z38" s="32"/>
      <c r="AA38" s="30"/>
      <c r="AB38" s="16"/>
      <c r="AC38" s="13"/>
      <c r="AD38" s="3"/>
      <c r="AE38" s="3"/>
      <c r="AF38" s="13"/>
      <c r="AG38" s="18"/>
      <c r="AH38" s="15"/>
      <c r="AI38" s="16"/>
      <c r="AJ38" s="13"/>
      <c r="AK38" s="3"/>
      <c r="AL38" s="3">
        <v>0</v>
      </c>
      <c r="AM38" s="17">
        <v>0</v>
      </c>
      <c r="AN38" s="15"/>
      <c r="AO38" s="16"/>
      <c r="AP38" s="13"/>
      <c r="AQ38" s="3"/>
      <c r="AR38" s="3">
        <v>0</v>
      </c>
      <c r="AS38" s="18"/>
      <c r="AT38" s="15"/>
      <c r="AU38" s="16"/>
      <c r="AV38" s="13"/>
      <c r="AW38" s="4"/>
      <c r="AX38" s="3">
        <v>0</v>
      </c>
      <c r="AY38" s="19">
        <v>0</v>
      </c>
      <c r="AZ38" s="15"/>
      <c r="BA38" s="16"/>
      <c r="BB38" s="16"/>
      <c r="BC38" s="16"/>
      <c r="BD38" s="16">
        <v>0</v>
      </c>
      <c r="BE38" s="16">
        <v>0</v>
      </c>
      <c r="BF38" s="16"/>
      <c r="BG38" s="16"/>
      <c r="BH38" s="6"/>
      <c r="BI38" s="27"/>
    </row>
    <row r="39" spans="1:61" ht="20.25">
      <c r="A39" s="1"/>
      <c r="B39" s="13"/>
      <c r="C39" s="13">
        <f t="shared" si="6"/>
        <v>0</v>
      </c>
      <c r="D39" s="28"/>
      <c r="E39" s="14"/>
      <c r="F39" s="15"/>
      <c r="G39" s="16"/>
      <c r="H39" s="13"/>
      <c r="I39" s="13">
        <v>100</v>
      </c>
      <c r="J39" s="3"/>
      <c r="K39" s="13">
        <f t="shared" si="9"/>
        <v>0</v>
      </c>
      <c r="L39" s="17"/>
      <c r="M39" s="15"/>
      <c r="N39" s="16"/>
      <c r="O39" s="13"/>
      <c r="P39" s="13"/>
      <c r="Q39" s="3"/>
      <c r="R39" s="3">
        <v>0</v>
      </c>
      <c r="S39" s="17"/>
      <c r="T39" s="15"/>
      <c r="U39" s="16"/>
      <c r="V39" s="28"/>
      <c r="W39" s="3">
        <v>100</v>
      </c>
      <c r="X39" s="28"/>
      <c r="Y39" s="39"/>
      <c r="Z39" s="32"/>
      <c r="AA39" s="30"/>
      <c r="AB39" s="16"/>
      <c r="AC39" s="13"/>
      <c r="AD39" s="3"/>
      <c r="AE39" s="3"/>
      <c r="AF39" s="13"/>
      <c r="AG39" s="18"/>
      <c r="AH39" s="15"/>
      <c r="AI39" s="16"/>
      <c r="AJ39" s="13"/>
      <c r="AK39" s="3"/>
      <c r="AL39" s="3">
        <v>0</v>
      </c>
      <c r="AM39" s="17">
        <v>0</v>
      </c>
      <c r="AN39" s="15"/>
      <c r="AO39" s="16"/>
      <c r="AP39" s="13"/>
      <c r="AQ39" s="3"/>
      <c r="AR39" s="3">
        <v>0</v>
      </c>
      <c r="AS39" s="18"/>
      <c r="AT39" s="15"/>
      <c r="AU39" s="16"/>
      <c r="AV39" s="13"/>
      <c r="AW39" s="4"/>
      <c r="AX39" s="3">
        <v>0</v>
      </c>
      <c r="AY39" s="19">
        <v>0</v>
      </c>
      <c r="AZ39" s="15"/>
      <c r="BA39" s="16"/>
      <c r="BB39" s="16"/>
      <c r="BC39" s="16"/>
      <c r="BD39" s="16">
        <v>0</v>
      </c>
      <c r="BE39" s="16">
        <v>0</v>
      </c>
      <c r="BF39" s="16"/>
      <c r="BG39" s="16"/>
      <c r="BH39" s="6"/>
      <c r="BI39" s="27"/>
    </row>
    <row r="40" spans="1:61" ht="20.25">
      <c r="A40" s="1"/>
      <c r="B40" s="13"/>
      <c r="C40" s="13">
        <f t="shared" si="6"/>
        <v>0</v>
      </c>
      <c r="D40" s="28"/>
      <c r="E40" s="14"/>
      <c r="F40" s="15"/>
      <c r="G40" s="16"/>
      <c r="H40" s="13"/>
      <c r="I40" s="13">
        <v>100</v>
      </c>
      <c r="J40" s="3"/>
      <c r="K40" s="13">
        <f t="shared" si="9"/>
        <v>0</v>
      </c>
      <c r="L40" s="17"/>
      <c r="M40" s="15"/>
      <c r="N40" s="16"/>
      <c r="O40" s="13"/>
      <c r="P40" s="13"/>
      <c r="Q40" s="3"/>
      <c r="R40" s="3">
        <v>0</v>
      </c>
      <c r="S40" s="17"/>
      <c r="T40" s="15"/>
      <c r="U40" s="16"/>
      <c r="V40" s="28"/>
      <c r="W40" s="3">
        <v>100</v>
      </c>
      <c r="X40" s="28"/>
      <c r="Y40" s="39"/>
      <c r="Z40" s="32"/>
      <c r="AA40" s="30"/>
      <c r="AB40" s="16"/>
      <c r="AC40" s="13"/>
      <c r="AD40" s="3"/>
      <c r="AE40" s="3"/>
      <c r="AF40" s="13"/>
      <c r="AG40" s="18"/>
      <c r="AH40" s="15"/>
      <c r="AI40" s="16"/>
      <c r="AJ40" s="13"/>
      <c r="AK40" s="3"/>
      <c r="AL40" s="3">
        <v>0</v>
      </c>
      <c r="AM40" s="17">
        <v>0</v>
      </c>
      <c r="AN40" s="15"/>
      <c r="AO40" s="16"/>
      <c r="AP40" s="13"/>
      <c r="AQ40" s="3"/>
      <c r="AR40" s="3">
        <v>0</v>
      </c>
      <c r="AS40" s="18"/>
      <c r="AT40" s="15"/>
      <c r="AU40" s="16"/>
      <c r="AV40" s="13"/>
      <c r="AW40" s="4"/>
      <c r="AX40" s="3">
        <v>0</v>
      </c>
      <c r="AY40" s="19">
        <v>0</v>
      </c>
      <c r="AZ40" s="15"/>
      <c r="BA40" s="16"/>
      <c r="BB40" s="16"/>
      <c r="BC40" s="16"/>
      <c r="BD40" s="16">
        <v>0</v>
      </c>
      <c r="BE40" s="16">
        <v>0</v>
      </c>
      <c r="BF40" s="16"/>
      <c r="BG40" s="16"/>
      <c r="BH40" s="6"/>
      <c r="BI40" s="27"/>
    </row>
    <row r="41" spans="1:61" ht="20.25">
      <c r="A41" s="1"/>
      <c r="B41" s="13"/>
      <c r="C41" s="13">
        <f t="shared" si="6"/>
        <v>0</v>
      </c>
      <c r="D41" s="28"/>
      <c r="E41" s="14"/>
      <c r="F41" s="15"/>
      <c r="G41" s="16"/>
      <c r="H41" s="13"/>
      <c r="I41" s="13">
        <v>100</v>
      </c>
      <c r="J41" s="3"/>
      <c r="K41" s="13">
        <f t="shared" si="9"/>
        <v>0</v>
      </c>
      <c r="L41" s="17"/>
      <c r="M41" s="15"/>
      <c r="N41" s="16"/>
      <c r="O41" s="13"/>
      <c r="P41" s="13"/>
      <c r="Q41" s="3"/>
      <c r="R41" s="3">
        <v>0</v>
      </c>
      <c r="S41" s="17"/>
      <c r="T41" s="15"/>
      <c r="U41" s="16"/>
      <c r="V41" s="28"/>
      <c r="W41" s="3">
        <v>100</v>
      </c>
      <c r="X41" s="28"/>
      <c r="Y41" s="39"/>
      <c r="Z41" s="32"/>
      <c r="AA41" s="30"/>
      <c r="AB41" s="16"/>
      <c r="AC41" s="13"/>
      <c r="AD41" s="3"/>
      <c r="AE41" s="3"/>
      <c r="AF41" s="13"/>
      <c r="AG41" s="18"/>
      <c r="AH41" s="15"/>
      <c r="AI41" s="16"/>
      <c r="AJ41" s="13"/>
      <c r="AK41" s="3"/>
      <c r="AL41" s="3">
        <v>0</v>
      </c>
      <c r="AM41" s="17">
        <v>0</v>
      </c>
      <c r="AN41" s="15"/>
      <c r="AO41" s="16"/>
      <c r="AP41" s="13"/>
      <c r="AQ41" s="3"/>
      <c r="AR41" s="3">
        <v>0</v>
      </c>
      <c r="AS41" s="18"/>
      <c r="AT41" s="15"/>
      <c r="AU41" s="16"/>
      <c r="AV41" s="13"/>
      <c r="AW41" s="4"/>
      <c r="AX41" s="3">
        <v>0</v>
      </c>
      <c r="AY41" s="19">
        <v>0</v>
      </c>
      <c r="AZ41" s="15"/>
      <c r="BA41" s="16"/>
      <c r="BB41" s="16"/>
      <c r="BC41" s="16"/>
      <c r="BD41" s="16">
        <v>0</v>
      </c>
      <c r="BE41" s="16">
        <v>0</v>
      </c>
      <c r="BF41" s="16"/>
      <c r="BG41" s="16"/>
      <c r="BH41" s="6"/>
      <c r="BI41" s="27"/>
    </row>
    <row r="42" spans="1:61" ht="20.25">
      <c r="A42" s="1"/>
      <c r="B42" s="13"/>
      <c r="C42" s="13">
        <f t="shared" si="6"/>
        <v>0</v>
      </c>
      <c r="D42" s="28"/>
      <c r="E42" s="14"/>
      <c r="F42" s="15"/>
      <c r="G42" s="16"/>
      <c r="H42" s="13"/>
      <c r="I42" s="13">
        <v>100</v>
      </c>
      <c r="J42" s="3"/>
      <c r="K42" s="13">
        <f t="shared" si="9"/>
        <v>0</v>
      </c>
      <c r="L42" s="17"/>
      <c r="M42" s="15"/>
      <c r="N42" s="16"/>
      <c r="O42" s="13"/>
      <c r="P42" s="13"/>
      <c r="Q42" s="3"/>
      <c r="R42" s="3">
        <v>0</v>
      </c>
      <c r="S42" s="17"/>
      <c r="T42" s="15"/>
      <c r="U42" s="16"/>
      <c r="V42" s="28"/>
      <c r="W42" s="3">
        <v>100</v>
      </c>
      <c r="X42" s="28"/>
      <c r="Y42" s="39"/>
      <c r="Z42" s="32"/>
      <c r="AA42" s="30"/>
      <c r="AB42" s="16"/>
      <c r="AC42" s="13"/>
      <c r="AD42" s="3"/>
      <c r="AE42" s="3"/>
      <c r="AF42" s="13"/>
      <c r="AG42" s="18"/>
      <c r="AH42" s="15"/>
      <c r="AI42" s="16"/>
      <c r="AJ42" s="13"/>
      <c r="AK42" s="3"/>
      <c r="AL42" s="3">
        <v>0</v>
      </c>
      <c r="AM42" s="17">
        <v>0</v>
      </c>
      <c r="AN42" s="15"/>
      <c r="AO42" s="16"/>
      <c r="AP42" s="13"/>
      <c r="AQ42" s="3"/>
      <c r="AR42" s="3">
        <v>0</v>
      </c>
      <c r="AS42" s="18"/>
      <c r="AT42" s="15"/>
      <c r="AU42" s="16"/>
      <c r="AV42" s="13"/>
      <c r="AW42" s="4"/>
      <c r="AX42" s="3">
        <v>0</v>
      </c>
      <c r="AY42" s="19">
        <v>0</v>
      </c>
      <c r="AZ42" s="15"/>
      <c r="BA42" s="16"/>
      <c r="BB42" s="16"/>
      <c r="BC42" s="16"/>
      <c r="BD42" s="16">
        <v>0</v>
      </c>
      <c r="BE42" s="16">
        <v>0</v>
      </c>
      <c r="BF42" s="16"/>
      <c r="BG42" s="16"/>
      <c r="BH42" s="6"/>
      <c r="BI42" s="27"/>
    </row>
    <row r="43" spans="1:61" ht="20.25">
      <c r="A43" s="1"/>
      <c r="B43" s="13"/>
      <c r="C43" s="13">
        <f t="shared" si="6"/>
        <v>0</v>
      </c>
      <c r="D43" s="28"/>
      <c r="E43" s="14"/>
      <c r="F43" s="15"/>
      <c r="G43" s="16"/>
      <c r="H43" s="13"/>
      <c r="I43" s="13">
        <v>100</v>
      </c>
      <c r="J43" s="3"/>
      <c r="K43" s="13">
        <f t="shared" si="9"/>
        <v>0</v>
      </c>
      <c r="L43" s="17"/>
      <c r="M43" s="15"/>
      <c r="N43" s="16"/>
      <c r="O43" s="13"/>
      <c r="P43" s="13"/>
      <c r="Q43" s="3"/>
      <c r="R43" s="3">
        <v>0</v>
      </c>
      <c r="S43" s="17"/>
      <c r="T43" s="15"/>
      <c r="U43" s="16"/>
      <c r="V43" s="28"/>
      <c r="W43" s="3">
        <v>100</v>
      </c>
      <c r="X43" s="28"/>
      <c r="Y43" s="39"/>
      <c r="Z43" s="32"/>
      <c r="AA43" s="30"/>
      <c r="AB43" s="16"/>
      <c r="AC43" s="13"/>
      <c r="AD43" s="3"/>
      <c r="AE43" s="3"/>
      <c r="AF43" s="13"/>
      <c r="AG43" s="18"/>
      <c r="AH43" s="15"/>
      <c r="AI43" s="16"/>
      <c r="AJ43" s="13"/>
      <c r="AK43" s="3"/>
      <c r="AL43" s="3">
        <v>0</v>
      </c>
      <c r="AM43" s="17">
        <v>0</v>
      </c>
      <c r="AN43" s="15"/>
      <c r="AO43" s="16"/>
      <c r="AP43" s="13"/>
      <c r="AQ43" s="3"/>
      <c r="AR43" s="3">
        <v>0</v>
      </c>
      <c r="AS43" s="18"/>
      <c r="AT43" s="15"/>
      <c r="AU43" s="16"/>
      <c r="AV43" s="13"/>
      <c r="AW43" s="4"/>
      <c r="AX43" s="3">
        <v>0</v>
      </c>
      <c r="AY43" s="19">
        <v>0</v>
      </c>
      <c r="AZ43" s="15"/>
      <c r="BA43" s="16"/>
      <c r="BB43" s="16"/>
      <c r="BC43" s="16"/>
      <c r="BD43" s="16">
        <v>0</v>
      </c>
      <c r="BE43" s="16">
        <v>0</v>
      </c>
      <c r="BF43" s="16"/>
      <c r="BG43" s="16"/>
      <c r="BH43" s="6"/>
      <c r="BI43" s="27"/>
    </row>
    <row r="44" spans="1:61" ht="20.25">
      <c r="A44" s="1"/>
      <c r="B44" s="13"/>
      <c r="C44" s="13">
        <f t="shared" si="6"/>
        <v>0</v>
      </c>
      <c r="D44" s="28"/>
      <c r="E44" s="14"/>
      <c r="F44" s="15"/>
      <c r="G44" s="16"/>
      <c r="H44" s="13"/>
      <c r="I44" s="13">
        <v>100</v>
      </c>
      <c r="J44" s="3"/>
      <c r="K44" s="13">
        <f t="shared" si="9"/>
        <v>0</v>
      </c>
      <c r="L44" s="17"/>
      <c r="M44" s="15"/>
      <c r="N44" s="16"/>
      <c r="O44" s="13"/>
      <c r="P44" s="13"/>
      <c r="Q44" s="3"/>
      <c r="R44" s="3">
        <v>0</v>
      </c>
      <c r="S44" s="17"/>
      <c r="T44" s="15"/>
      <c r="U44" s="16"/>
      <c r="V44" s="28"/>
      <c r="W44" s="3">
        <v>100</v>
      </c>
      <c r="X44" s="28"/>
      <c r="Y44" s="39"/>
      <c r="Z44" s="32"/>
      <c r="AA44" s="30"/>
      <c r="AB44" s="16"/>
      <c r="AC44" s="13"/>
      <c r="AD44" s="3"/>
      <c r="AE44" s="3"/>
      <c r="AF44" s="13"/>
      <c r="AG44" s="18"/>
      <c r="AH44" s="15"/>
      <c r="AI44" s="16"/>
      <c r="AJ44" s="13"/>
      <c r="AK44" s="3"/>
      <c r="AL44" s="3">
        <v>0</v>
      </c>
      <c r="AM44" s="17">
        <v>0</v>
      </c>
      <c r="AN44" s="15"/>
      <c r="AO44" s="16"/>
      <c r="AP44" s="13"/>
      <c r="AQ44" s="3"/>
      <c r="AR44" s="3">
        <v>0</v>
      </c>
      <c r="AS44" s="18"/>
      <c r="AT44" s="15"/>
      <c r="AU44" s="16"/>
      <c r="AV44" s="13"/>
      <c r="AW44" s="4"/>
      <c r="AX44" s="3">
        <v>0</v>
      </c>
      <c r="AY44" s="19">
        <v>0</v>
      </c>
      <c r="AZ44" s="15"/>
      <c r="BA44" s="16"/>
      <c r="BB44" s="16"/>
      <c r="BC44" s="16"/>
      <c r="BD44" s="16">
        <v>0</v>
      </c>
      <c r="BE44" s="16">
        <v>0</v>
      </c>
      <c r="BF44" s="16"/>
      <c r="BG44" s="16"/>
      <c r="BH44" s="6"/>
      <c r="BI44" s="27"/>
    </row>
    <row r="45" spans="1:61" ht="20.25">
      <c r="A45" s="1"/>
      <c r="B45" s="13"/>
      <c r="C45" s="13">
        <f t="shared" si="6"/>
        <v>0</v>
      </c>
      <c r="D45" s="28"/>
      <c r="E45" s="14"/>
      <c r="F45" s="15"/>
      <c r="G45" s="16"/>
      <c r="H45" s="13"/>
      <c r="I45" s="13">
        <v>100</v>
      </c>
      <c r="J45" s="3"/>
      <c r="K45" s="13">
        <f t="shared" si="9"/>
        <v>0</v>
      </c>
      <c r="L45" s="17"/>
      <c r="M45" s="15"/>
      <c r="N45" s="16"/>
      <c r="O45" s="13"/>
      <c r="P45" s="13"/>
      <c r="Q45" s="3"/>
      <c r="R45" s="3">
        <v>0</v>
      </c>
      <c r="S45" s="17"/>
      <c r="T45" s="15"/>
      <c r="U45" s="16"/>
      <c r="V45" s="28"/>
      <c r="W45" s="3">
        <v>100</v>
      </c>
      <c r="X45" s="28"/>
      <c r="Y45" s="39"/>
      <c r="Z45" s="32"/>
      <c r="AA45" s="30"/>
      <c r="AB45" s="16"/>
      <c r="AC45" s="13"/>
      <c r="AD45" s="3"/>
      <c r="AE45" s="3"/>
      <c r="AF45" s="13"/>
      <c r="AG45" s="18"/>
      <c r="AH45" s="15"/>
      <c r="AI45" s="16"/>
      <c r="AJ45" s="13"/>
      <c r="AK45" s="3"/>
      <c r="AL45" s="3">
        <v>0</v>
      </c>
      <c r="AM45" s="17">
        <v>0</v>
      </c>
      <c r="AN45" s="15"/>
      <c r="AO45" s="16"/>
      <c r="AP45" s="13"/>
      <c r="AQ45" s="3"/>
      <c r="AR45" s="3">
        <v>0</v>
      </c>
      <c r="AS45" s="18"/>
      <c r="AT45" s="15"/>
      <c r="AU45" s="16"/>
      <c r="AV45" s="13"/>
      <c r="AW45" s="4"/>
      <c r="AX45" s="3">
        <v>0</v>
      </c>
      <c r="AY45" s="19">
        <v>0</v>
      </c>
      <c r="AZ45" s="15"/>
      <c r="BA45" s="16"/>
      <c r="BB45" s="16"/>
      <c r="BC45" s="16"/>
      <c r="BD45" s="16">
        <v>0</v>
      </c>
      <c r="BE45" s="16">
        <v>0</v>
      </c>
      <c r="BF45" s="16"/>
      <c r="BG45" s="16"/>
      <c r="BH45" s="6"/>
      <c r="BI45" s="27"/>
    </row>
    <row r="46" spans="1:61" ht="20.25">
      <c r="A46" s="1"/>
      <c r="B46" s="13"/>
      <c r="C46" s="13">
        <f t="shared" si="6"/>
        <v>0</v>
      </c>
      <c r="D46" s="28"/>
      <c r="E46" s="14"/>
      <c r="F46" s="15"/>
      <c r="G46" s="16"/>
      <c r="H46" s="13"/>
      <c r="I46" s="13">
        <v>100</v>
      </c>
      <c r="J46" s="3"/>
      <c r="K46" s="13">
        <f t="shared" si="9"/>
        <v>0</v>
      </c>
      <c r="L46" s="17"/>
      <c r="M46" s="15"/>
      <c r="N46" s="16"/>
      <c r="O46" s="13"/>
      <c r="P46" s="13"/>
      <c r="Q46" s="3"/>
      <c r="R46" s="3">
        <v>0</v>
      </c>
      <c r="S46" s="17"/>
      <c r="T46" s="15"/>
      <c r="U46" s="16"/>
      <c r="V46" s="28"/>
      <c r="W46" s="3">
        <v>100</v>
      </c>
      <c r="X46" s="28"/>
      <c r="Y46" s="39"/>
      <c r="Z46" s="32"/>
      <c r="AA46" s="30"/>
      <c r="AB46" s="16"/>
      <c r="AC46" s="13"/>
      <c r="AD46" s="3"/>
      <c r="AE46" s="3"/>
      <c r="AF46" s="13"/>
      <c r="AG46" s="18"/>
      <c r="AH46" s="15"/>
      <c r="AI46" s="16"/>
      <c r="AJ46" s="13"/>
      <c r="AK46" s="3"/>
      <c r="AL46" s="3">
        <v>0</v>
      </c>
      <c r="AM46" s="17">
        <v>0</v>
      </c>
      <c r="AN46" s="15"/>
      <c r="AO46" s="16"/>
      <c r="AP46" s="13"/>
      <c r="AQ46" s="3"/>
      <c r="AR46" s="3">
        <v>0</v>
      </c>
      <c r="AS46" s="18"/>
      <c r="AT46" s="15"/>
      <c r="AU46" s="16"/>
      <c r="AV46" s="13"/>
      <c r="AW46" s="4"/>
      <c r="AX46" s="3">
        <v>0</v>
      </c>
      <c r="AY46" s="19">
        <v>0</v>
      </c>
      <c r="AZ46" s="15"/>
      <c r="BA46" s="16"/>
      <c r="BB46" s="16"/>
      <c r="BC46" s="16"/>
      <c r="BD46" s="16">
        <v>0</v>
      </c>
      <c r="BE46" s="16">
        <v>0</v>
      </c>
      <c r="BF46" s="16"/>
      <c r="BG46" s="16"/>
      <c r="BH46" s="6"/>
      <c r="BI46" s="27"/>
    </row>
    <row r="47" spans="1:61" ht="20.25">
      <c r="A47" s="1"/>
      <c r="B47" s="13"/>
      <c r="C47" s="13">
        <f t="shared" si="6"/>
        <v>0</v>
      </c>
      <c r="D47" s="28"/>
      <c r="E47" s="14"/>
      <c r="F47" s="15"/>
      <c r="G47" s="16"/>
      <c r="H47" s="13"/>
      <c r="I47" s="13">
        <v>100</v>
      </c>
      <c r="J47" s="3"/>
      <c r="K47" s="13">
        <f t="shared" si="9"/>
        <v>0</v>
      </c>
      <c r="L47" s="17"/>
      <c r="M47" s="15"/>
      <c r="N47" s="16"/>
      <c r="O47" s="13"/>
      <c r="P47" s="13"/>
      <c r="Q47" s="3"/>
      <c r="R47" s="3">
        <v>0</v>
      </c>
      <c r="S47" s="17"/>
      <c r="T47" s="15"/>
      <c r="U47" s="16"/>
      <c r="V47" s="28"/>
      <c r="W47" s="3">
        <v>100</v>
      </c>
      <c r="X47" s="28"/>
      <c r="Y47" s="39"/>
      <c r="Z47" s="32"/>
      <c r="AA47" s="30"/>
      <c r="AB47" s="16"/>
      <c r="AC47" s="13"/>
      <c r="AD47" s="3"/>
      <c r="AE47" s="3"/>
      <c r="AF47" s="13"/>
      <c r="AG47" s="18"/>
      <c r="AH47" s="15"/>
      <c r="AI47" s="16"/>
      <c r="AJ47" s="13"/>
      <c r="AK47" s="3"/>
      <c r="AL47" s="3">
        <v>0</v>
      </c>
      <c r="AM47" s="17">
        <v>0</v>
      </c>
      <c r="AN47" s="15"/>
      <c r="AO47" s="16"/>
      <c r="AP47" s="13"/>
      <c r="AQ47" s="3"/>
      <c r="AR47" s="3">
        <v>0</v>
      </c>
      <c r="AS47" s="18"/>
      <c r="AT47" s="15"/>
      <c r="AU47" s="16"/>
      <c r="AV47" s="13"/>
      <c r="AW47" s="4"/>
      <c r="AX47" s="3">
        <v>0</v>
      </c>
      <c r="AY47" s="19">
        <v>0</v>
      </c>
      <c r="AZ47" s="15"/>
      <c r="BA47" s="16"/>
      <c r="BB47" s="16"/>
      <c r="BC47" s="16"/>
      <c r="BD47" s="16">
        <v>0</v>
      </c>
      <c r="BE47" s="16">
        <v>0</v>
      </c>
      <c r="BF47" s="16"/>
      <c r="BG47" s="16"/>
      <c r="BH47" s="6"/>
      <c r="BI47" s="27"/>
    </row>
    <row r="48" spans="1:61" ht="20.25">
      <c r="A48" s="1"/>
      <c r="B48" s="13"/>
      <c r="C48" s="13">
        <f t="shared" si="6"/>
        <v>0</v>
      </c>
      <c r="D48" s="28"/>
      <c r="E48" s="14"/>
      <c r="F48" s="15"/>
      <c r="G48" s="16"/>
      <c r="H48" s="3"/>
      <c r="I48" s="13">
        <v>100</v>
      </c>
      <c r="J48" s="3"/>
      <c r="K48" s="13">
        <f t="shared" si="9"/>
        <v>0</v>
      </c>
      <c r="L48" s="17"/>
      <c r="M48" s="15"/>
      <c r="N48" s="16"/>
      <c r="O48" s="13"/>
      <c r="P48" s="13"/>
      <c r="Q48" s="3"/>
      <c r="R48" s="3">
        <v>0</v>
      </c>
      <c r="S48" s="17"/>
      <c r="T48" s="15"/>
      <c r="U48" s="16"/>
      <c r="V48" s="28"/>
      <c r="W48" s="3">
        <v>100</v>
      </c>
      <c r="X48" s="28"/>
      <c r="Y48" s="39"/>
      <c r="Z48" s="32"/>
      <c r="AA48" s="30"/>
      <c r="AB48" s="16"/>
      <c r="AC48" s="13"/>
      <c r="AD48" s="3"/>
      <c r="AE48" s="3"/>
      <c r="AF48" s="13"/>
      <c r="AG48" s="18"/>
      <c r="AH48" s="15"/>
      <c r="AI48" s="16"/>
      <c r="AJ48" s="13"/>
      <c r="AK48" s="3"/>
      <c r="AL48" s="3">
        <v>0</v>
      </c>
      <c r="AM48" s="17">
        <v>0</v>
      </c>
      <c r="AN48" s="15"/>
      <c r="AO48" s="16"/>
      <c r="AP48" s="13"/>
      <c r="AQ48" s="3"/>
      <c r="AR48" s="3">
        <v>0</v>
      </c>
      <c r="AS48" s="18"/>
      <c r="AT48" s="15"/>
      <c r="AU48" s="16"/>
      <c r="AV48" s="13"/>
      <c r="AW48" s="4"/>
      <c r="AX48" s="3">
        <v>0</v>
      </c>
      <c r="AY48" s="19">
        <v>0</v>
      </c>
      <c r="AZ48" s="15"/>
      <c r="BA48" s="16"/>
      <c r="BB48" s="16"/>
      <c r="BC48" s="16"/>
      <c r="BD48" s="16">
        <v>0</v>
      </c>
      <c r="BE48" s="16">
        <v>0</v>
      </c>
      <c r="BF48" s="16"/>
      <c r="BG48" s="16"/>
      <c r="BH48" s="6"/>
      <c r="BI48" s="27"/>
    </row>
    <row r="49" spans="1:61" ht="21" thickBot="1">
      <c r="A49" s="20"/>
      <c r="B49" s="13"/>
      <c r="C49" s="13">
        <f t="shared" si="6"/>
        <v>0</v>
      </c>
      <c r="D49" s="29"/>
      <c r="E49" s="14"/>
      <c r="F49" s="15"/>
      <c r="G49" s="24"/>
      <c r="H49" s="3"/>
      <c r="I49" s="13">
        <v>100</v>
      </c>
      <c r="J49" s="21"/>
      <c r="K49" s="13">
        <f t="shared" si="9"/>
        <v>0</v>
      </c>
      <c r="L49" s="17"/>
      <c r="M49" s="15"/>
      <c r="N49" s="16"/>
      <c r="O49" s="13"/>
      <c r="P49" s="13"/>
      <c r="Q49" s="21"/>
      <c r="R49" s="21">
        <v>0</v>
      </c>
      <c r="S49" s="17"/>
      <c r="T49" s="23"/>
      <c r="U49" s="16"/>
      <c r="V49" s="28"/>
      <c r="W49" s="3">
        <v>100</v>
      </c>
      <c r="X49" s="28"/>
      <c r="Y49" s="40"/>
      <c r="Z49" s="32"/>
      <c r="AA49" s="30"/>
      <c r="AB49" s="16"/>
      <c r="AC49" s="13"/>
      <c r="AD49" s="3"/>
      <c r="AE49" s="21"/>
      <c r="AF49" s="13"/>
      <c r="AG49" s="18"/>
      <c r="AH49" s="15"/>
      <c r="AI49" s="24"/>
      <c r="AJ49" s="13"/>
      <c r="AK49" s="21"/>
      <c r="AL49" s="21">
        <v>0</v>
      </c>
      <c r="AM49" s="22">
        <v>0</v>
      </c>
      <c r="AN49" s="15"/>
      <c r="AO49" s="24"/>
      <c r="AP49" s="13"/>
      <c r="AQ49" s="21"/>
      <c r="AR49" s="21">
        <v>0</v>
      </c>
      <c r="AS49" s="18"/>
      <c r="AT49" s="23"/>
      <c r="AU49" s="24"/>
      <c r="AV49" s="13"/>
      <c r="AW49" s="25"/>
      <c r="AX49" s="21">
        <v>0</v>
      </c>
      <c r="AY49" s="26">
        <v>0</v>
      </c>
      <c r="AZ49" s="23"/>
      <c r="BA49" s="24"/>
      <c r="BB49" s="41"/>
      <c r="BC49" s="41"/>
      <c r="BD49" s="41">
        <v>0</v>
      </c>
      <c r="BE49" s="41">
        <v>0</v>
      </c>
      <c r="BF49" s="41"/>
      <c r="BG49" s="41"/>
      <c r="BH49" s="6"/>
      <c r="BI49" s="27"/>
    </row>
    <row r="50" spans="1:61" ht="21" customHeight="1" thickTop="1">
      <c r="E50"/>
      <c r="F50"/>
      <c r="G50"/>
      <c r="I50"/>
      <c r="K50"/>
      <c r="L50"/>
      <c r="M50"/>
      <c r="N50"/>
      <c r="S50"/>
      <c r="T50"/>
      <c r="U50"/>
      <c r="X50" s="28"/>
      <c r="Y50"/>
      <c r="Z50"/>
      <c r="AA50"/>
      <c r="AB50"/>
      <c r="AC50" s="13"/>
      <c r="AG50"/>
      <c r="AH50"/>
      <c r="AI50"/>
      <c r="AM50"/>
      <c r="AN50"/>
      <c r="AO50"/>
      <c r="AS50"/>
      <c r="AT50"/>
      <c r="AU50"/>
      <c r="AV50"/>
      <c r="AW50"/>
    </row>
    <row r="51" spans="1:61" ht="20.45" customHeight="1">
      <c r="E51"/>
      <c r="F51"/>
      <c r="G51"/>
      <c r="I51"/>
      <c r="K51"/>
      <c r="L51"/>
      <c r="M51"/>
      <c r="N51"/>
      <c r="S51"/>
      <c r="T51"/>
      <c r="U51"/>
      <c r="Y51"/>
      <c r="Z51"/>
      <c r="AA51"/>
      <c r="AB51"/>
      <c r="AG51"/>
      <c r="AH51"/>
      <c r="AI51"/>
      <c r="AM51"/>
      <c r="AN51"/>
      <c r="AO51"/>
      <c r="AS51"/>
      <c r="AT51"/>
      <c r="AU51"/>
      <c r="AV51"/>
      <c r="AW51"/>
    </row>
    <row r="52" spans="1:61" ht="20.45" customHeight="1">
      <c r="E52"/>
      <c r="F52"/>
      <c r="G52"/>
      <c r="I52"/>
      <c r="K52"/>
      <c r="L52"/>
      <c r="M52"/>
      <c r="N52"/>
      <c r="S52"/>
      <c r="T52"/>
      <c r="U52"/>
      <c r="Y52"/>
      <c r="Z52"/>
      <c r="AA52"/>
      <c r="AB52"/>
      <c r="AG52"/>
      <c r="AH52"/>
      <c r="AI52"/>
      <c r="AM52"/>
      <c r="AN52"/>
      <c r="AO52"/>
      <c r="AS52"/>
      <c r="AT52"/>
      <c r="AU52"/>
      <c r="AV52"/>
      <c r="AW52"/>
    </row>
    <row r="53" spans="1:61" ht="20.45" customHeight="1">
      <c r="E53"/>
      <c r="F53"/>
      <c r="G53"/>
      <c r="I53"/>
      <c r="K53"/>
      <c r="L53"/>
      <c r="M53"/>
      <c r="N53"/>
      <c r="S53"/>
      <c r="T53"/>
      <c r="U53"/>
      <c r="Y53"/>
      <c r="Z53"/>
      <c r="AA53"/>
      <c r="AB53"/>
      <c r="AG53"/>
      <c r="AH53"/>
      <c r="AI53"/>
      <c r="AM53"/>
      <c r="AN53"/>
      <c r="AO53"/>
      <c r="AS53"/>
      <c r="AT53"/>
      <c r="AU53"/>
      <c r="AV53"/>
      <c r="AW53"/>
    </row>
    <row r="54" spans="1:61" ht="20.45" customHeight="1">
      <c r="E54"/>
      <c r="F54"/>
      <c r="G54"/>
      <c r="I54"/>
      <c r="K54"/>
      <c r="L54"/>
      <c r="M54"/>
      <c r="N54"/>
      <c r="S54"/>
      <c r="T54"/>
      <c r="U54"/>
      <c r="Y54"/>
      <c r="Z54"/>
      <c r="AA54"/>
      <c r="AB54"/>
      <c r="AG54"/>
      <c r="AH54"/>
      <c r="AI54"/>
      <c r="AM54"/>
      <c r="AN54"/>
      <c r="AO54"/>
      <c r="AS54"/>
      <c r="AT54"/>
      <c r="AU54"/>
      <c r="AV54"/>
      <c r="AW54"/>
    </row>
    <row r="55" spans="1:61" ht="20.45" customHeight="1">
      <c r="E55"/>
      <c r="F55"/>
      <c r="G55"/>
      <c r="I55"/>
      <c r="K55"/>
      <c r="L55"/>
      <c r="M55"/>
      <c r="N55"/>
      <c r="S55"/>
      <c r="T55"/>
      <c r="U55"/>
      <c r="Y55"/>
      <c r="Z55"/>
      <c r="AA55"/>
      <c r="AB55"/>
      <c r="AG55"/>
      <c r="AH55"/>
      <c r="AI55"/>
      <c r="AM55"/>
      <c r="AN55"/>
      <c r="AO55"/>
      <c r="AS55"/>
      <c r="AT55"/>
      <c r="AU55"/>
      <c r="AV55"/>
      <c r="AW55"/>
    </row>
    <row r="56" spans="1:61" ht="20.45" customHeight="1">
      <c r="E56"/>
      <c r="F56"/>
      <c r="G56"/>
      <c r="I56"/>
      <c r="K56"/>
      <c r="L56"/>
      <c r="M56"/>
      <c r="N56"/>
      <c r="S56"/>
      <c r="T56"/>
      <c r="U56"/>
      <c r="Y56"/>
      <c r="Z56"/>
      <c r="AA56"/>
      <c r="AB56"/>
      <c r="AG56"/>
      <c r="AH56"/>
      <c r="AI56"/>
      <c r="AM56"/>
      <c r="AN56"/>
      <c r="AO56"/>
      <c r="AS56"/>
      <c r="AT56"/>
      <c r="AU56"/>
      <c r="AV56"/>
      <c r="AW56"/>
    </row>
    <row r="57" spans="1:61" ht="20.45" customHeight="1">
      <c r="E57"/>
      <c r="F57"/>
      <c r="G57"/>
      <c r="I57"/>
      <c r="K57"/>
      <c r="L57"/>
      <c r="M57"/>
      <c r="N57"/>
      <c r="S57"/>
      <c r="T57"/>
      <c r="U57"/>
      <c r="Y57"/>
      <c r="Z57"/>
      <c r="AA57"/>
      <c r="AB57"/>
      <c r="AG57"/>
      <c r="AH57"/>
      <c r="AI57"/>
      <c r="AM57"/>
      <c r="AN57"/>
      <c r="AO57"/>
      <c r="AS57"/>
      <c r="AT57"/>
      <c r="AU57"/>
      <c r="AV57"/>
      <c r="AW57"/>
    </row>
    <row r="58" spans="1:61" ht="20.45" customHeight="1">
      <c r="E58"/>
      <c r="F58"/>
      <c r="G58"/>
      <c r="I58"/>
      <c r="K58"/>
      <c r="L58"/>
      <c r="M58"/>
      <c r="N58"/>
      <c r="S58"/>
      <c r="T58"/>
      <c r="U58"/>
      <c r="Y58"/>
      <c r="Z58"/>
      <c r="AA58"/>
      <c r="AB58"/>
      <c r="AG58"/>
      <c r="AH58"/>
      <c r="AI58"/>
      <c r="AM58"/>
      <c r="AN58"/>
      <c r="AO58"/>
      <c r="AS58"/>
      <c r="AT58"/>
      <c r="AU58"/>
      <c r="AV58"/>
      <c r="AW58"/>
    </row>
    <row r="59" spans="1:61" ht="20.45" customHeight="1">
      <c r="E59"/>
      <c r="F59"/>
      <c r="G59"/>
      <c r="I59"/>
      <c r="K59"/>
      <c r="L59"/>
      <c r="M59"/>
      <c r="N59"/>
      <c r="S59"/>
      <c r="T59"/>
      <c r="U59"/>
      <c r="Y59"/>
      <c r="Z59"/>
      <c r="AA59"/>
      <c r="AB59"/>
      <c r="AG59"/>
      <c r="AH59"/>
      <c r="AI59"/>
      <c r="AM59"/>
      <c r="AN59"/>
      <c r="AO59"/>
      <c r="AS59"/>
      <c r="AT59"/>
      <c r="AU59"/>
      <c r="AV59"/>
      <c r="AW59"/>
    </row>
    <row r="60" spans="1:61" ht="20.45" customHeight="1">
      <c r="E60"/>
      <c r="F60"/>
      <c r="G60"/>
      <c r="I60"/>
      <c r="K60"/>
      <c r="L60"/>
      <c r="M60"/>
      <c r="N60"/>
      <c r="S60"/>
      <c r="T60"/>
      <c r="U60"/>
      <c r="Y60"/>
      <c r="Z60"/>
      <c r="AA60"/>
      <c r="AB60"/>
      <c r="AG60"/>
      <c r="AH60"/>
      <c r="AI60"/>
      <c r="AM60"/>
      <c r="AN60"/>
      <c r="AO60"/>
      <c r="AS60"/>
      <c r="AT60"/>
      <c r="AU60"/>
      <c r="AV60"/>
      <c r="AW60"/>
    </row>
    <row r="61" spans="1:61" ht="20.45" customHeight="1">
      <c r="E61"/>
      <c r="F61"/>
      <c r="G61"/>
      <c r="I61"/>
      <c r="K61"/>
      <c r="L61"/>
      <c r="M61"/>
      <c r="N61"/>
      <c r="S61"/>
      <c r="T61"/>
      <c r="U61"/>
      <c r="Y61"/>
      <c r="Z61"/>
      <c r="AA61"/>
      <c r="AB61"/>
      <c r="AG61"/>
      <c r="AH61"/>
      <c r="AI61"/>
      <c r="AM61"/>
      <c r="AN61"/>
      <c r="AO61"/>
      <c r="AS61"/>
      <c r="AT61"/>
      <c r="AU61"/>
      <c r="AV61"/>
      <c r="AW61"/>
    </row>
    <row r="62" spans="1:61" ht="20.45" customHeight="1">
      <c r="E62"/>
      <c r="F62"/>
      <c r="G62"/>
      <c r="I62"/>
      <c r="K62"/>
      <c r="L62"/>
      <c r="M62"/>
      <c r="N62"/>
      <c r="S62"/>
      <c r="T62"/>
      <c r="U62"/>
      <c r="Y62"/>
      <c r="Z62"/>
      <c r="AA62"/>
      <c r="AB62"/>
      <c r="AG62"/>
      <c r="AH62"/>
      <c r="AI62"/>
      <c r="AM62"/>
      <c r="AN62"/>
      <c r="AO62"/>
      <c r="AS62"/>
      <c r="AT62"/>
      <c r="AU62"/>
      <c r="AV62"/>
      <c r="AW62"/>
    </row>
    <row r="63" spans="1:61" ht="20.45" customHeight="1">
      <c r="E63"/>
      <c r="F63"/>
      <c r="G63"/>
      <c r="I63"/>
      <c r="K63"/>
      <c r="L63"/>
      <c r="M63"/>
      <c r="N63"/>
      <c r="S63"/>
      <c r="T63"/>
      <c r="U63"/>
      <c r="Y63"/>
      <c r="Z63"/>
      <c r="AA63"/>
      <c r="AB63"/>
      <c r="AG63"/>
      <c r="AH63"/>
      <c r="AI63"/>
      <c r="AM63"/>
      <c r="AN63"/>
      <c r="AO63"/>
      <c r="AS63"/>
      <c r="AT63"/>
      <c r="AU63"/>
      <c r="AV63"/>
      <c r="AW63"/>
    </row>
    <row r="64" spans="1:61" ht="20.45" customHeight="1">
      <c r="E64"/>
      <c r="F64"/>
      <c r="G64"/>
      <c r="I64"/>
      <c r="K64"/>
      <c r="L64"/>
      <c r="M64"/>
      <c r="N64"/>
      <c r="S64"/>
      <c r="T64"/>
      <c r="U64"/>
      <c r="Y64"/>
      <c r="Z64"/>
      <c r="AA64"/>
      <c r="AB64"/>
      <c r="AG64"/>
      <c r="AH64"/>
      <c r="AI64"/>
      <c r="AM64"/>
      <c r="AN64"/>
      <c r="AO64"/>
      <c r="AS64"/>
      <c r="AT64"/>
      <c r="AU64"/>
      <c r="AV64"/>
      <c r="AW64"/>
    </row>
    <row r="65" spans="10:10" customFormat="1" ht="20.45" customHeight="1">
      <c r="J65" s="9"/>
    </row>
    <row r="66" spans="10:10" customFormat="1" ht="20.45" customHeight="1">
      <c r="J66" s="9"/>
    </row>
    <row r="67" spans="10:10" customFormat="1" ht="20.45" customHeight="1">
      <c r="J67" s="9"/>
    </row>
    <row r="68" spans="10:10" customFormat="1" ht="20.45" customHeight="1">
      <c r="J68" s="9"/>
    </row>
    <row r="69" spans="10:10" customFormat="1" ht="20.45" customHeight="1">
      <c r="J69" s="9"/>
    </row>
    <row r="70" spans="10:10" customFormat="1" ht="20.45" customHeight="1">
      <c r="J70" s="9"/>
    </row>
    <row r="71" spans="10:10" customFormat="1" ht="20.45" customHeight="1">
      <c r="J71" s="9"/>
    </row>
    <row r="72" spans="10:10" customFormat="1" ht="20.45" customHeight="1">
      <c r="J72" s="9"/>
    </row>
    <row r="73" spans="10:10" customFormat="1" ht="20.45" customHeight="1">
      <c r="J73" s="9"/>
    </row>
    <row r="74" spans="10:10" customFormat="1" ht="20.45" customHeight="1">
      <c r="J74" s="9"/>
    </row>
    <row r="75" spans="10:10" customFormat="1" ht="20.45" customHeight="1">
      <c r="J75" s="9"/>
    </row>
    <row r="76" spans="10:10" customFormat="1" ht="20.45" customHeight="1">
      <c r="J76" s="9"/>
    </row>
    <row r="77" spans="10:10" customFormat="1" ht="20.45" customHeight="1">
      <c r="J77" s="9"/>
    </row>
    <row r="78" spans="10:10" customFormat="1" ht="20.45" customHeight="1">
      <c r="J78" s="9"/>
    </row>
    <row r="79" spans="10:10" customFormat="1" ht="20.45" customHeight="1">
      <c r="J79" s="9"/>
    </row>
    <row r="80" spans="10:10" customFormat="1" ht="20.45" customHeight="1">
      <c r="J80" s="9"/>
    </row>
    <row r="81" spans="10:10" customFormat="1" ht="20.45" customHeight="1">
      <c r="J81" s="9"/>
    </row>
    <row r="82" spans="10:10" customFormat="1" ht="20.45" customHeight="1">
      <c r="J82" s="9"/>
    </row>
    <row r="83" spans="10:10" customFormat="1" ht="20.45" customHeight="1">
      <c r="J83" s="9"/>
    </row>
    <row r="84" spans="10:10" customFormat="1" ht="20.45" customHeight="1">
      <c r="J84" s="9"/>
    </row>
    <row r="85" spans="10:10" customFormat="1" ht="20.45" customHeight="1">
      <c r="J85" s="9"/>
    </row>
    <row r="86" spans="10:10" customFormat="1" ht="20.45" customHeight="1">
      <c r="J86" s="9"/>
    </row>
    <row r="87" spans="10:10" customFormat="1" ht="20.45" customHeight="1">
      <c r="J87" s="9"/>
    </row>
    <row r="88" spans="10:10" customFormat="1" ht="20.45" customHeight="1">
      <c r="J88" s="9"/>
    </row>
    <row r="89" spans="10:10" customFormat="1" ht="20.45" customHeight="1">
      <c r="J89" s="9"/>
    </row>
    <row r="90" spans="10:10" customFormat="1" ht="20.45" customHeight="1">
      <c r="J90" s="9"/>
    </row>
    <row r="91" spans="10:10" customFormat="1" ht="20.45" customHeight="1">
      <c r="J91" s="9"/>
    </row>
    <row r="92" spans="10:10" customFormat="1" ht="20.45" customHeight="1">
      <c r="J92" s="9"/>
    </row>
    <row r="93" spans="10:10" customFormat="1" ht="20.45" customHeight="1">
      <c r="J93" s="9"/>
    </row>
    <row r="94" spans="10:10" customFormat="1" ht="20.45" customHeight="1">
      <c r="J94" s="9"/>
    </row>
    <row r="95" spans="10:10" customFormat="1" ht="20.45" customHeight="1">
      <c r="J95" s="9"/>
    </row>
    <row r="96" spans="10:10" customFormat="1" ht="20.45" customHeight="1">
      <c r="J96" s="9"/>
    </row>
    <row r="97" spans="10:10" customFormat="1" ht="14.45" customHeight="1">
      <c r="J97" s="9"/>
    </row>
    <row r="98" spans="10:10" customFormat="1" ht="14.45" customHeight="1">
      <c r="J98" s="9"/>
    </row>
    <row r="99" spans="10:10" customFormat="1" ht="14.45" customHeight="1">
      <c r="J99" s="9"/>
    </row>
    <row r="100" spans="10:10" customFormat="1" ht="14.45" customHeight="1">
      <c r="J100" s="9"/>
    </row>
    <row r="101" spans="10:10" customFormat="1" ht="14.45" customHeight="1">
      <c r="J101" s="9"/>
    </row>
    <row r="102" spans="10:10" customFormat="1" ht="14.45" customHeight="1">
      <c r="J102" s="9"/>
    </row>
    <row r="103" spans="10:10" customFormat="1" ht="14.45" customHeight="1">
      <c r="J103" s="9"/>
    </row>
    <row r="104" spans="10:10" customFormat="1" ht="14.45" customHeight="1">
      <c r="J104" s="9"/>
    </row>
    <row r="105" spans="10:10" customFormat="1" ht="14.45" customHeight="1">
      <c r="J105" s="9"/>
    </row>
    <row r="106" spans="10:10" customFormat="1" ht="14.45" customHeight="1">
      <c r="J106" s="9"/>
    </row>
    <row r="107" spans="10:10" customFormat="1" ht="14.45" customHeight="1">
      <c r="J107" s="9"/>
    </row>
    <row r="108" spans="10:10" customFormat="1" ht="14.45" customHeight="1">
      <c r="J108" s="9"/>
    </row>
    <row r="109" spans="10:10" customFormat="1" ht="14.45" customHeight="1">
      <c r="J109" s="9"/>
    </row>
    <row r="110" spans="10:10" customFormat="1" ht="14.45" customHeight="1">
      <c r="J110" s="9"/>
    </row>
    <row r="111" spans="10:10" customFormat="1" ht="14.45" customHeight="1">
      <c r="J111" s="9"/>
    </row>
    <row r="112" spans="10:10" customFormat="1" ht="14.45" customHeight="1">
      <c r="J112" s="9"/>
    </row>
    <row r="113" spans="10:10" customFormat="1" ht="14.45" customHeight="1">
      <c r="J113" s="9"/>
    </row>
    <row r="114" spans="10:10" customFormat="1" ht="14.45" customHeight="1">
      <c r="J114" s="9"/>
    </row>
    <row r="115" spans="10:10" customFormat="1" ht="14.45" customHeight="1">
      <c r="J115" s="9"/>
    </row>
    <row r="116" spans="10:10" customFormat="1" ht="14.45" customHeight="1">
      <c r="J116" s="9"/>
    </row>
    <row r="117" spans="10:10" customFormat="1" ht="14.45" customHeight="1">
      <c r="J117" s="9"/>
    </row>
    <row r="118" spans="10:10" customFormat="1" ht="14.45" customHeight="1">
      <c r="J118" s="9"/>
    </row>
    <row r="119" spans="10:10" customFormat="1" ht="14.45" customHeight="1">
      <c r="J119" s="9"/>
    </row>
    <row r="120" spans="10:10" customFormat="1" ht="14.45" customHeight="1">
      <c r="J120" s="9"/>
    </row>
    <row r="121" spans="10:10" customFormat="1" ht="14.45" customHeight="1">
      <c r="J121" s="9"/>
    </row>
    <row r="122" spans="10:10" customFormat="1" ht="14.45" customHeight="1">
      <c r="J122" s="9"/>
    </row>
    <row r="123" spans="10:10" customFormat="1" ht="14.45" customHeight="1">
      <c r="J123" s="9"/>
    </row>
    <row r="124" spans="10:10" customFormat="1" ht="14.45" customHeight="1">
      <c r="J124" s="9"/>
    </row>
    <row r="125" spans="10:10" customFormat="1" ht="14.45" customHeight="1">
      <c r="J125" s="9"/>
    </row>
    <row r="126" spans="10:10" customFormat="1" ht="14.45" customHeight="1">
      <c r="J126" s="9"/>
    </row>
    <row r="127" spans="10:10" customFormat="1" ht="14.45" customHeight="1">
      <c r="J127" s="9"/>
    </row>
    <row r="128" spans="10:10" customFormat="1" ht="14.45" customHeight="1">
      <c r="J128" s="9"/>
    </row>
    <row r="129" spans="10:10" customFormat="1" ht="14.45" customHeight="1">
      <c r="J129" s="9"/>
    </row>
    <row r="130" spans="10:10" customFormat="1" ht="14.45" customHeight="1">
      <c r="J130" s="9"/>
    </row>
    <row r="131" spans="10:10" customFormat="1" ht="14.45" customHeight="1">
      <c r="J131" s="9"/>
    </row>
    <row r="132" spans="10:10" customFormat="1" ht="14.45" customHeight="1">
      <c r="J132" s="9"/>
    </row>
    <row r="133" spans="10:10" customFormat="1" ht="14.45" customHeight="1">
      <c r="J133" s="9"/>
    </row>
    <row r="134" spans="10:10" customFormat="1" ht="14.45" customHeight="1">
      <c r="J134" s="9"/>
    </row>
    <row r="135" spans="10:10" customFormat="1" ht="14.45" customHeight="1">
      <c r="J135" s="9"/>
    </row>
    <row r="136" spans="10:10" customFormat="1" ht="14.45" customHeight="1">
      <c r="J136" s="9"/>
    </row>
    <row r="137" spans="10:10" customFormat="1" ht="14.45" customHeight="1">
      <c r="J137" s="9"/>
    </row>
    <row r="138" spans="10:10" customFormat="1" ht="14.45" customHeight="1">
      <c r="J138" s="9"/>
    </row>
    <row r="139" spans="10:10" customFormat="1" ht="14.45" customHeight="1">
      <c r="J139" s="9"/>
    </row>
    <row r="140" spans="10:10" customFormat="1" ht="14.45" customHeight="1">
      <c r="J140" s="9"/>
    </row>
    <row r="141" spans="10:10" customFormat="1" ht="14.45" customHeight="1">
      <c r="J141" s="9"/>
    </row>
    <row r="142" spans="10:10" customFormat="1" ht="14.45" customHeight="1">
      <c r="J142" s="9"/>
    </row>
    <row r="143" spans="10:10" customFormat="1" ht="14.45" customHeight="1">
      <c r="J143" s="9"/>
    </row>
    <row r="144" spans="10:10" customFormat="1" ht="14.45" customHeight="1">
      <c r="J144" s="9"/>
    </row>
    <row r="145" spans="10:10" customFormat="1" ht="14.45" customHeight="1">
      <c r="J145" s="9"/>
    </row>
    <row r="146" spans="10:10" customFormat="1" ht="14.45" customHeight="1">
      <c r="J146" s="9"/>
    </row>
    <row r="147" spans="10:10" customFormat="1" ht="14.45" customHeight="1">
      <c r="J147" s="9"/>
    </row>
    <row r="148" spans="10:10" customFormat="1" ht="14.45" customHeight="1">
      <c r="J148" s="9"/>
    </row>
    <row r="149" spans="10:10" customFormat="1" ht="14.45" customHeight="1">
      <c r="J149" s="9"/>
    </row>
    <row r="150" spans="10:10" customFormat="1" ht="14.45" customHeight="1">
      <c r="J150" s="9"/>
    </row>
    <row r="151" spans="10:10" customFormat="1" ht="14.45" customHeight="1">
      <c r="J151" s="9"/>
    </row>
    <row r="152" spans="10:10" customFormat="1" ht="14.45" customHeight="1">
      <c r="J152" s="9"/>
    </row>
    <row r="153" spans="10:10" customFormat="1" ht="14.45" customHeight="1">
      <c r="J153" s="9"/>
    </row>
    <row r="154" spans="10:10" customFormat="1" ht="14.45" customHeight="1">
      <c r="J154" s="9"/>
    </row>
    <row r="155" spans="10:10" customFormat="1" ht="14.45" customHeight="1">
      <c r="J155" s="9"/>
    </row>
    <row r="156" spans="10:10" customFormat="1" ht="14.45" customHeight="1">
      <c r="J156" s="9"/>
    </row>
    <row r="157" spans="10:10" customFormat="1" ht="14.45" customHeight="1">
      <c r="J157" s="9"/>
    </row>
    <row r="158" spans="10:10" customFormat="1" ht="14.45" customHeight="1">
      <c r="J158" s="9"/>
    </row>
    <row r="159" spans="10:10" customFormat="1" ht="14.45" customHeight="1">
      <c r="J159" s="9"/>
    </row>
    <row r="160" spans="10:10" customFormat="1" ht="14.45" customHeight="1">
      <c r="J160" s="9"/>
    </row>
    <row r="161" spans="10:10" customFormat="1" ht="14.45" customHeight="1">
      <c r="J161" s="9"/>
    </row>
    <row r="162" spans="10:10" customFormat="1" ht="14.45" customHeight="1">
      <c r="J162" s="9"/>
    </row>
    <row r="163" spans="10:10" customFormat="1" ht="14.45" customHeight="1">
      <c r="J163" s="9"/>
    </row>
    <row r="164" spans="10:10" customFormat="1" ht="14.45" customHeight="1">
      <c r="J164" s="9"/>
    </row>
    <row r="165" spans="10:10" customFormat="1" ht="14.45" customHeight="1">
      <c r="J165" s="9"/>
    </row>
    <row r="166" spans="10:10" customFormat="1" ht="14.45" customHeight="1">
      <c r="J166" s="9"/>
    </row>
    <row r="167" spans="10:10" customFormat="1" ht="14.45" customHeight="1">
      <c r="J167" s="9"/>
    </row>
    <row r="168" spans="10:10" customFormat="1" ht="14.45" customHeight="1">
      <c r="J168" s="9"/>
    </row>
    <row r="169" spans="10:10" customFormat="1" ht="14.45" customHeight="1">
      <c r="J169" s="9"/>
    </row>
    <row r="170" spans="10:10" customFormat="1" ht="14.45" customHeight="1">
      <c r="J170" s="9"/>
    </row>
    <row r="171" spans="10:10" customFormat="1" ht="14.45" customHeight="1">
      <c r="J171" s="9"/>
    </row>
    <row r="172" spans="10:10" customFormat="1" ht="14.45" customHeight="1">
      <c r="J172" s="9"/>
    </row>
    <row r="173" spans="10:10" customFormat="1" ht="14.45" customHeight="1">
      <c r="J173" s="9"/>
    </row>
    <row r="174" spans="10:10" customFormat="1" ht="14.45" customHeight="1">
      <c r="J174" s="9"/>
    </row>
    <row r="175" spans="10:10" customFormat="1" ht="14.45" customHeight="1">
      <c r="J175" s="9"/>
    </row>
    <row r="176" spans="10:10" customFormat="1" ht="14.45" customHeight="1">
      <c r="J176" s="9"/>
    </row>
    <row r="177" spans="10:10" customFormat="1" ht="14.45" customHeight="1">
      <c r="J177" s="9"/>
    </row>
    <row r="178" spans="10:10" customFormat="1" ht="14.45" customHeight="1">
      <c r="J178" s="9"/>
    </row>
    <row r="179" spans="10:10" customFormat="1" ht="14.45" customHeight="1">
      <c r="J179" s="9"/>
    </row>
    <row r="180" spans="10:10" customFormat="1" ht="14.45" customHeight="1">
      <c r="J180" s="9"/>
    </row>
    <row r="181" spans="10:10" customFormat="1" ht="14.45" customHeight="1">
      <c r="J181" s="9"/>
    </row>
    <row r="182" spans="10:10" customFormat="1" ht="14.45" customHeight="1">
      <c r="J182" s="9"/>
    </row>
    <row r="183" spans="10:10" customFormat="1" ht="14.45" customHeight="1">
      <c r="J183" s="9"/>
    </row>
    <row r="184" spans="10:10" customFormat="1" ht="14.45" customHeight="1">
      <c r="J184" s="9"/>
    </row>
    <row r="185" spans="10:10" customFormat="1" ht="14.45" customHeight="1">
      <c r="J185" s="9"/>
    </row>
    <row r="186" spans="10:10" customFormat="1" ht="14.45" customHeight="1">
      <c r="J186" s="9"/>
    </row>
    <row r="187" spans="10:10" customFormat="1" ht="14.45" customHeight="1">
      <c r="J187" s="9"/>
    </row>
    <row r="188" spans="10:10" customFormat="1" ht="14.45" customHeight="1">
      <c r="J188" s="9"/>
    </row>
    <row r="189" spans="10:10" customFormat="1" ht="14.45" customHeight="1">
      <c r="J189" s="9"/>
    </row>
    <row r="190" spans="10:10" customFormat="1" ht="14.45" customHeight="1">
      <c r="J190" s="9"/>
    </row>
    <row r="191" spans="10:10" customFormat="1" ht="14.45" customHeight="1">
      <c r="J191" s="9"/>
    </row>
    <row r="192" spans="10:10" customFormat="1" ht="14.45" customHeight="1">
      <c r="J192" s="9"/>
    </row>
    <row r="193" spans="10:10" customFormat="1" ht="14.45" customHeight="1">
      <c r="J193" s="9"/>
    </row>
    <row r="194" spans="10:10" customFormat="1" ht="14.45" customHeight="1">
      <c r="J194" s="9"/>
    </row>
    <row r="195" spans="10:10" customFormat="1" ht="14.45" customHeight="1">
      <c r="J195" s="9"/>
    </row>
    <row r="196" spans="10:10" customFormat="1" ht="14.45" customHeight="1">
      <c r="J196" s="9"/>
    </row>
    <row r="197" spans="10:10" customFormat="1" ht="14.45" customHeight="1">
      <c r="J197" s="9"/>
    </row>
    <row r="198" spans="10:10" customFormat="1" ht="14.45" customHeight="1">
      <c r="J198" s="9"/>
    </row>
    <row r="199" spans="10:10" customFormat="1" ht="14.45" customHeight="1">
      <c r="J199" s="9"/>
    </row>
    <row r="200" spans="10:10" customFormat="1" ht="14.45" customHeight="1">
      <c r="J200" s="9"/>
    </row>
    <row r="201" spans="10:10" customFormat="1" ht="14.45" customHeight="1">
      <c r="J201" s="9"/>
    </row>
    <row r="202" spans="10:10" customFormat="1" ht="14.45" customHeight="1">
      <c r="J202" s="9"/>
    </row>
    <row r="203" spans="10:10" customFormat="1" ht="14.45" customHeight="1">
      <c r="J203" s="9"/>
    </row>
    <row r="204" spans="10:10" customFormat="1" ht="14.45" customHeight="1">
      <c r="J204" s="9"/>
    </row>
    <row r="205" spans="10:10" customFormat="1" ht="14.45" customHeight="1">
      <c r="J205" s="9"/>
    </row>
    <row r="206" spans="10:10" customFormat="1" ht="14.45" customHeight="1">
      <c r="J206" s="9"/>
    </row>
    <row r="207" spans="10:10" customFormat="1" ht="14.45" customHeight="1">
      <c r="J207" s="9"/>
    </row>
    <row r="208" spans="10:10" customFormat="1" ht="14.45" customHeight="1">
      <c r="J208" s="9"/>
    </row>
    <row r="209" spans="10:10" customFormat="1" ht="14.45" customHeight="1">
      <c r="J209" s="9"/>
    </row>
    <row r="210" spans="10:10" customFormat="1" ht="14.45" customHeight="1">
      <c r="J210" s="9"/>
    </row>
    <row r="211" spans="10:10" customFormat="1" ht="14.45" customHeight="1">
      <c r="J211" s="9"/>
    </row>
    <row r="212" spans="10:10" customFormat="1" ht="14.45" customHeight="1">
      <c r="J212" s="9"/>
    </row>
    <row r="213" spans="10:10" customFormat="1" ht="14.45" customHeight="1">
      <c r="J213" s="9"/>
    </row>
    <row r="214" spans="10:10" customFormat="1" ht="14.45" customHeight="1">
      <c r="J214" s="9"/>
    </row>
    <row r="215" spans="10:10" customFormat="1" ht="14.45" customHeight="1">
      <c r="J215" s="9"/>
    </row>
    <row r="216" spans="10:10" customFormat="1" ht="14.45" customHeight="1">
      <c r="J216" s="9"/>
    </row>
    <row r="217" spans="10:10" customFormat="1" ht="14.45" customHeight="1">
      <c r="J217" s="9"/>
    </row>
    <row r="218" spans="10:10" customFormat="1" ht="14.45" customHeight="1">
      <c r="J218" s="9"/>
    </row>
    <row r="219" spans="10:10" customFormat="1" ht="14.45" customHeight="1">
      <c r="J219" s="9"/>
    </row>
    <row r="220" spans="10:10" customFormat="1" ht="14.45" customHeight="1">
      <c r="J220" s="9"/>
    </row>
    <row r="221" spans="10:10" customFormat="1" ht="14.45" customHeight="1">
      <c r="J221" s="9"/>
    </row>
    <row r="222" spans="10:10" customFormat="1" ht="14.45" customHeight="1">
      <c r="J222" s="9"/>
    </row>
    <row r="223" spans="10:10" customFormat="1" ht="14.45" customHeight="1">
      <c r="J223" s="9"/>
    </row>
    <row r="224" spans="10:10" customFormat="1" ht="14.45" customHeight="1">
      <c r="J224" s="9"/>
    </row>
    <row r="225" spans="10:10" customFormat="1" ht="14.45" customHeight="1">
      <c r="J225" s="9"/>
    </row>
    <row r="226" spans="10:10" customFormat="1" ht="14.45" customHeight="1">
      <c r="J226" s="9"/>
    </row>
    <row r="227" spans="10:10" customFormat="1" ht="14.45" customHeight="1">
      <c r="J227" s="9"/>
    </row>
    <row r="228" spans="10:10" customFormat="1" ht="14.45" customHeight="1">
      <c r="J228" s="9"/>
    </row>
    <row r="229" spans="10:10" customFormat="1" ht="14.45" customHeight="1">
      <c r="J229" s="9"/>
    </row>
    <row r="230" spans="10:10" customFormat="1" ht="14.45" customHeight="1">
      <c r="J230" s="9"/>
    </row>
    <row r="231" spans="10:10" customFormat="1" ht="14.45" customHeight="1">
      <c r="J231" s="9"/>
    </row>
    <row r="232" spans="10:10" customFormat="1" ht="14.45" customHeight="1">
      <c r="J232" s="9"/>
    </row>
    <row r="233" spans="10:10" customFormat="1" ht="14.45" customHeight="1">
      <c r="J233" s="9"/>
    </row>
    <row r="234" spans="10:10" customFormat="1" ht="14.45" customHeight="1">
      <c r="J234" s="9"/>
    </row>
    <row r="235" spans="10:10" customFormat="1" ht="14.45" customHeight="1">
      <c r="J235" s="9"/>
    </row>
    <row r="236" spans="10:10" customFormat="1" ht="14.45" customHeight="1">
      <c r="J236" s="9"/>
    </row>
    <row r="237" spans="10:10" customFormat="1" ht="14.45" customHeight="1">
      <c r="J237" s="9"/>
    </row>
    <row r="238" spans="10:10" customFormat="1" ht="14.45" customHeight="1">
      <c r="J238" s="9"/>
    </row>
    <row r="239" spans="10:10" customFormat="1" ht="14.45" customHeight="1">
      <c r="J239" s="9"/>
    </row>
    <row r="240" spans="10:10" customFormat="1" ht="14.45" customHeight="1">
      <c r="J240" s="9"/>
    </row>
    <row r="241" spans="10:10" customFormat="1" ht="14.45" customHeight="1">
      <c r="J241" s="9"/>
    </row>
    <row r="242" spans="10:10" customFormat="1" ht="14.45" customHeight="1">
      <c r="J242" s="9"/>
    </row>
    <row r="243" spans="10:10" customFormat="1" ht="14.45" customHeight="1">
      <c r="J243" s="9"/>
    </row>
    <row r="244" spans="10:10" customFormat="1" ht="14.45" customHeight="1">
      <c r="J244" s="9"/>
    </row>
    <row r="245" spans="10:10" customFormat="1" ht="14.45" customHeight="1">
      <c r="J245" s="9"/>
    </row>
    <row r="246" spans="10:10" customFormat="1" ht="14.45" customHeight="1">
      <c r="J246" s="9"/>
    </row>
    <row r="247" spans="10:10" customFormat="1" ht="14.45" customHeight="1">
      <c r="J247" s="9"/>
    </row>
    <row r="248" spans="10:10" customFormat="1" ht="14.45" customHeight="1">
      <c r="J248" s="9"/>
    </row>
    <row r="249" spans="10:10" customFormat="1" ht="14.45" customHeight="1">
      <c r="J249" s="9"/>
    </row>
    <row r="250" spans="10:10" customFormat="1" ht="14.45" customHeight="1">
      <c r="J250" s="9"/>
    </row>
    <row r="251" spans="10:10" customFormat="1" ht="14.45" customHeight="1">
      <c r="J251" s="9"/>
    </row>
    <row r="252" spans="10:10" customFormat="1" ht="14.45" customHeight="1">
      <c r="J252" s="9"/>
    </row>
    <row r="253" spans="10:10" customFormat="1" ht="14.45" customHeight="1">
      <c r="J253" s="9"/>
    </row>
    <row r="254" spans="10:10" customFormat="1" ht="14.45" customHeight="1">
      <c r="J254" s="9"/>
    </row>
    <row r="255" spans="10:10" customFormat="1" ht="14.45" customHeight="1">
      <c r="J255" s="9"/>
    </row>
    <row r="256" spans="10:10" customFormat="1" ht="14.45" customHeight="1">
      <c r="J256" s="9"/>
    </row>
    <row r="257" spans="10:10" customFormat="1" ht="14.45" customHeight="1">
      <c r="J257" s="9"/>
    </row>
    <row r="258" spans="10:10" customFormat="1" ht="14.45" customHeight="1">
      <c r="J258" s="9"/>
    </row>
    <row r="259" spans="10:10" customFormat="1" ht="14.45" customHeight="1">
      <c r="J259" s="9"/>
    </row>
    <row r="260" spans="10:10" customFormat="1" ht="14.45" customHeight="1">
      <c r="J260" s="9"/>
    </row>
    <row r="261" spans="10:10" customFormat="1" ht="14.45" customHeight="1">
      <c r="J261" s="9"/>
    </row>
    <row r="262" spans="10:10" customFormat="1" ht="14.45" customHeight="1">
      <c r="J262" s="9"/>
    </row>
    <row r="263" spans="10:10" customFormat="1" ht="14.45" customHeight="1">
      <c r="J263" s="9"/>
    </row>
    <row r="264" spans="10:10" customFormat="1" ht="14.45" customHeight="1">
      <c r="J264" s="9"/>
    </row>
    <row r="265" spans="10:10" customFormat="1" ht="14.45" customHeight="1">
      <c r="J265" s="9"/>
    </row>
    <row r="266" spans="10:10" customFormat="1" ht="14.45" customHeight="1">
      <c r="J266" s="9"/>
    </row>
    <row r="267" spans="10:10" customFormat="1" ht="14.45" customHeight="1">
      <c r="J267" s="9"/>
    </row>
    <row r="268" spans="10:10" customFormat="1" ht="14.45" customHeight="1">
      <c r="J268" s="9"/>
    </row>
    <row r="269" spans="10:10" customFormat="1" ht="14.45" customHeight="1">
      <c r="J269" s="9"/>
    </row>
    <row r="270" spans="10:10" customFormat="1" ht="14.45" customHeight="1">
      <c r="J270" s="9"/>
    </row>
    <row r="271" spans="10:10" customFormat="1" ht="14.45" customHeight="1">
      <c r="J271" s="9"/>
    </row>
    <row r="272" spans="10:10" customFormat="1" ht="14.45" customHeight="1">
      <c r="J272" s="9"/>
    </row>
    <row r="273" spans="10:10" customFormat="1" ht="14.45" customHeight="1">
      <c r="J273" s="9"/>
    </row>
    <row r="274" spans="10:10" customFormat="1" ht="14.45" customHeight="1">
      <c r="J274" s="9"/>
    </row>
    <row r="275" spans="10:10" customFormat="1" ht="14.45" customHeight="1">
      <c r="J275" s="9"/>
    </row>
    <row r="276" spans="10:10" customFormat="1" ht="14.45" customHeight="1">
      <c r="J276" s="9"/>
    </row>
    <row r="277" spans="10:10" customFormat="1" ht="14.45" customHeight="1">
      <c r="J277" s="9"/>
    </row>
    <row r="278" spans="10:10" customFormat="1" ht="14.45" customHeight="1">
      <c r="J278" s="9"/>
    </row>
    <row r="279" spans="10:10" customFormat="1" ht="14.45" customHeight="1">
      <c r="J279" s="9"/>
    </row>
    <row r="280" spans="10:10" customFormat="1" ht="14.45" customHeight="1">
      <c r="J280" s="9"/>
    </row>
    <row r="281" spans="10:10" customFormat="1" ht="14.45" customHeight="1">
      <c r="J281" s="9"/>
    </row>
    <row r="282" spans="10:10" customFormat="1" ht="14.45" customHeight="1">
      <c r="J282" s="9"/>
    </row>
    <row r="283" spans="10:10" customFormat="1" ht="14.45" customHeight="1">
      <c r="J283" s="9"/>
    </row>
    <row r="284" spans="10:10" customFormat="1" ht="14.45" customHeight="1">
      <c r="J284" s="9"/>
    </row>
    <row r="285" spans="10:10" customFormat="1" ht="14.45" customHeight="1">
      <c r="J285" s="9"/>
    </row>
    <row r="286" spans="10:10" customFormat="1" ht="14.45" customHeight="1">
      <c r="J286" s="9"/>
    </row>
    <row r="287" spans="10:10" customFormat="1" ht="14.45" customHeight="1">
      <c r="J287" s="9"/>
    </row>
    <row r="288" spans="10:10" customFormat="1" ht="14.45" customHeight="1">
      <c r="J288" s="9"/>
    </row>
    <row r="289" spans="10:10" customFormat="1" ht="14.45" customHeight="1">
      <c r="J289" s="9"/>
    </row>
    <row r="290" spans="10:10" customFormat="1" ht="14.45" customHeight="1">
      <c r="J290" s="9"/>
    </row>
    <row r="291" spans="10:10" customFormat="1" ht="14.45" customHeight="1">
      <c r="J291" s="9"/>
    </row>
    <row r="292" spans="10:10" customFormat="1" ht="14.45" customHeight="1">
      <c r="J292" s="9"/>
    </row>
    <row r="293" spans="10:10" customFormat="1" ht="14.45" customHeight="1">
      <c r="J293" s="9"/>
    </row>
    <row r="294" spans="10:10" customFormat="1" ht="14.45" customHeight="1">
      <c r="J294" s="9"/>
    </row>
    <row r="295" spans="10:10" customFormat="1" ht="14.45" customHeight="1">
      <c r="J295" s="9"/>
    </row>
    <row r="296" spans="10:10" customFormat="1" ht="14.45" customHeight="1">
      <c r="J296" s="9"/>
    </row>
    <row r="297" spans="10:10" customFormat="1" ht="14.45" customHeight="1">
      <c r="J297" s="9"/>
    </row>
    <row r="298" spans="10:10" customFormat="1" ht="14.45" customHeight="1">
      <c r="J298" s="9"/>
    </row>
    <row r="299" spans="10:10" customFormat="1" ht="14.45" customHeight="1">
      <c r="J299" s="9"/>
    </row>
    <row r="300" spans="10:10" customFormat="1" ht="14.45" customHeight="1">
      <c r="J300" s="9"/>
    </row>
    <row r="301" spans="10:10" customFormat="1" ht="14.45" customHeight="1">
      <c r="J301" s="9"/>
    </row>
    <row r="302" spans="10:10" customFormat="1" ht="14.45" customHeight="1">
      <c r="J302" s="9"/>
    </row>
    <row r="303" spans="10:10" customFormat="1" ht="14.45" customHeight="1">
      <c r="J303" s="9"/>
    </row>
    <row r="304" spans="10:10" customFormat="1" ht="14.45" customHeight="1">
      <c r="J304" s="9"/>
    </row>
    <row r="305" spans="10:10" customFormat="1" ht="14.45" customHeight="1">
      <c r="J305" s="9"/>
    </row>
    <row r="306" spans="10:10" customFormat="1" ht="14.45" customHeight="1">
      <c r="J306" s="9"/>
    </row>
    <row r="307" spans="10:10" customFormat="1" ht="14.45" customHeight="1">
      <c r="J307" s="9"/>
    </row>
    <row r="308" spans="10:10" customFormat="1" ht="14.45" customHeight="1">
      <c r="J308" s="9"/>
    </row>
    <row r="309" spans="10:10" customFormat="1" ht="14.45" customHeight="1">
      <c r="J309" s="9"/>
    </row>
    <row r="310" spans="10:10" customFormat="1" ht="14.45" customHeight="1">
      <c r="J310" s="9"/>
    </row>
    <row r="311" spans="10:10" customFormat="1" ht="14.45" customHeight="1">
      <c r="J311" s="9"/>
    </row>
    <row r="312" spans="10:10" customFormat="1" ht="14.45" customHeight="1">
      <c r="J312" s="9"/>
    </row>
    <row r="313" spans="10:10" customFormat="1" ht="14.45" customHeight="1">
      <c r="J313" s="9"/>
    </row>
    <row r="314" spans="10:10" customFormat="1" ht="14.45" customHeight="1">
      <c r="J314" s="9"/>
    </row>
    <row r="315" spans="10:10" customFormat="1" ht="14.45" customHeight="1">
      <c r="J315" s="9"/>
    </row>
    <row r="316" spans="10:10" customFormat="1" ht="14.45" customHeight="1">
      <c r="J316" s="9"/>
    </row>
    <row r="317" spans="10:10" customFormat="1" ht="14.45" customHeight="1">
      <c r="J317" s="9"/>
    </row>
    <row r="318" spans="10:10" customFormat="1" ht="14.45" customHeight="1">
      <c r="J318" s="9"/>
    </row>
    <row r="319" spans="10:10" customFormat="1" ht="14.45" customHeight="1">
      <c r="J319" s="9"/>
    </row>
    <row r="320" spans="10:10" customFormat="1" ht="14.45" customHeight="1">
      <c r="J320" s="9"/>
    </row>
    <row r="321" spans="10:10" customFormat="1" ht="14.45" customHeight="1">
      <c r="J321" s="9"/>
    </row>
    <row r="322" spans="10:10" customFormat="1" ht="14.45" customHeight="1">
      <c r="J322" s="9"/>
    </row>
    <row r="323" spans="10:10" customFormat="1" ht="14.45" customHeight="1">
      <c r="J323" s="9"/>
    </row>
    <row r="324" spans="10:10" customFormat="1" ht="14.45" customHeight="1">
      <c r="J324" s="9"/>
    </row>
    <row r="325" spans="10:10" customFormat="1" ht="14.45" customHeight="1">
      <c r="J325" s="9"/>
    </row>
    <row r="326" spans="10:10" customFormat="1" ht="14.45" customHeight="1">
      <c r="J326" s="9"/>
    </row>
    <row r="327" spans="10:10" customFormat="1" ht="14.45" customHeight="1">
      <c r="J327" s="9"/>
    </row>
    <row r="328" spans="10:10" customFormat="1" ht="14.45" customHeight="1">
      <c r="J328" s="9"/>
    </row>
    <row r="329" spans="10:10" customFormat="1" ht="14.45" customHeight="1">
      <c r="J329" s="9"/>
    </row>
    <row r="330" spans="10:10" customFormat="1" ht="14.45" customHeight="1">
      <c r="J330" s="9"/>
    </row>
    <row r="331" spans="10:10" customFormat="1" ht="14.45" customHeight="1">
      <c r="J331" s="9"/>
    </row>
    <row r="332" spans="10:10" customFormat="1" ht="14.45" customHeight="1">
      <c r="J332" s="9"/>
    </row>
    <row r="333" spans="10:10" customFormat="1" ht="14.45" customHeight="1">
      <c r="J333" s="9"/>
    </row>
    <row r="334" spans="10:10" customFormat="1" ht="14.45" customHeight="1">
      <c r="J334" s="9"/>
    </row>
    <row r="335" spans="10:10" customFormat="1" ht="14.45" customHeight="1">
      <c r="J335" s="9"/>
    </row>
    <row r="336" spans="10:10" customFormat="1" ht="14.45" customHeight="1">
      <c r="J336" s="9"/>
    </row>
    <row r="337" spans="10:10" customFormat="1" ht="14.45" customHeight="1">
      <c r="J337" s="9"/>
    </row>
    <row r="338" spans="10:10" customFormat="1" ht="14.45" customHeight="1">
      <c r="J338" s="9"/>
    </row>
    <row r="339" spans="10:10" customFormat="1" ht="14.45" customHeight="1">
      <c r="J339" s="9"/>
    </row>
    <row r="340" spans="10:10" customFormat="1" ht="14.45" customHeight="1">
      <c r="J340" s="9"/>
    </row>
    <row r="341" spans="10:10" customFormat="1" ht="14.45" customHeight="1">
      <c r="J341" s="9"/>
    </row>
    <row r="342" spans="10:10" customFormat="1" ht="14.45" customHeight="1">
      <c r="J342" s="9"/>
    </row>
    <row r="343" spans="10:10" customFormat="1" ht="14.45" customHeight="1">
      <c r="J343" s="9"/>
    </row>
    <row r="344" spans="10:10" customFormat="1" ht="14.45" customHeight="1">
      <c r="J344" s="9"/>
    </row>
    <row r="345" spans="10:10" customFormat="1" ht="14.45" customHeight="1">
      <c r="J345" s="9"/>
    </row>
    <row r="346" spans="10:10" customFormat="1" ht="14.45" customHeight="1">
      <c r="J346" s="9"/>
    </row>
    <row r="347" spans="10:10" customFormat="1" ht="14.45" customHeight="1">
      <c r="J347" s="9"/>
    </row>
    <row r="348" spans="10:10" customFormat="1" ht="14.45" customHeight="1">
      <c r="J348" s="9"/>
    </row>
    <row r="349" spans="10:10" customFormat="1" ht="14.45" customHeight="1">
      <c r="J349" s="9"/>
    </row>
    <row r="350" spans="10:10" customFormat="1" ht="14.45" customHeight="1">
      <c r="J350" s="9"/>
    </row>
    <row r="351" spans="10:10" customFormat="1" ht="14.45" customHeight="1">
      <c r="J351" s="9"/>
    </row>
    <row r="352" spans="10:10" customFormat="1" ht="14.45" customHeight="1">
      <c r="J352" s="9"/>
    </row>
    <row r="353" spans="10:10" customFormat="1" ht="14.45" customHeight="1">
      <c r="J353" s="9"/>
    </row>
    <row r="354" spans="10:10" customFormat="1" ht="14.45" customHeight="1">
      <c r="J354" s="9"/>
    </row>
    <row r="355" spans="10:10" customFormat="1" ht="14.45" customHeight="1">
      <c r="J355" s="9"/>
    </row>
    <row r="356" spans="10:10" customFormat="1" ht="14.45" customHeight="1">
      <c r="J356" s="9"/>
    </row>
    <row r="357" spans="10:10" customFormat="1" ht="14.45" customHeight="1">
      <c r="J357" s="9"/>
    </row>
    <row r="358" spans="10:10" customFormat="1" ht="14.45" customHeight="1">
      <c r="J358" s="9"/>
    </row>
    <row r="359" spans="10:10" customFormat="1" ht="14.45" customHeight="1">
      <c r="J359" s="9"/>
    </row>
    <row r="360" spans="10:10" customFormat="1" ht="14.45" customHeight="1">
      <c r="J360" s="9"/>
    </row>
    <row r="361" spans="10:10" customFormat="1" ht="14.45" customHeight="1">
      <c r="J361" s="9"/>
    </row>
    <row r="362" spans="10:10" customFormat="1" ht="14.45" customHeight="1">
      <c r="J362" s="9"/>
    </row>
    <row r="363" spans="10:10" customFormat="1" ht="14.45" customHeight="1">
      <c r="J363" s="9"/>
    </row>
    <row r="364" spans="10:10" customFormat="1" ht="14.45" customHeight="1">
      <c r="J364" s="9"/>
    </row>
    <row r="365" spans="10:10" customFormat="1" ht="14.45" customHeight="1">
      <c r="J365" s="9"/>
    </row>
    <row r="366" spans="10:10" customFormat="1" ht="14.45" customHeight="1">
      <c r="J366" s="9"/>
    </row>
    <row r="367" spans="10:10" customFormat="1" ht="14.45" customHeight="1">
      <c r="J367" s="9"/>
    </row>
    <row r="368" spans="10:10" customFormat="1" ht="14.45" customHeight="1">
      <c r="J368" s="9"/>
    </row>
    <row r="369" spans="10:10" customFormat="1" ht="14.45" customHeight="1">
      <c r="J369" s="9"/>
    </row>
    <row r="370" spans="10:10" customFormat="1" ht="14.45" customHeight="1">
      <c r="J370" s="9"/>
    </row>
    <row r="371" spans="10:10" customFormat="1" ht="14.45" customHeight="1">
      <c r="J371" s="9"/>
    </row>
    <row r="372" spans="10:10" customFormat="1" ht="14.45" customHeight="1">
      <c r="J372" s="9"/>
    </row>
    <row r="373" spans="10:10" customFormat="1" ht="14.45" customHeight="1">
      <c r="J373" s="9"/>
    </row>
    <row r="374" spans="10:10" customFormat="1" ht="14.45" customHeight="1">
      <c r="J374" s="9"/>
    </row>
    <row r="375" spans="10:10" customFormat="1" ht="14.45" customHeight="1">
      <c r="J375" s="9"/>
    </row>
    <row r="376" spans="10:10" customFormat="1" ht="14.45" customHeight="1">
      <c r="J376" s="9"/>
    </row>
    <row r="377" spans="10:10" customFormat="1" ht="14.45" customHeight="1">
      <c r="J377" s="9"/>
    </row>
    <row r="378" spans="10:10" customFormat="1" ht="14.45" customHeight="1">
      <c r="J378" s="9"/>
    </row>
    <row r="379" spans="10:10" customFormat="1" ht="14.45" customHeight="1">
      <c r="J379" s="9"/>
    </row>
    <row r="380" spans="10:10" customFormat="1" ht="14.45" customHeight="1">
      <c r="J380" s="9"/>
    </row>
    <row r="381" spans="10:10" customFormat="1" ht="14.45" customHeight="1">
      <c r="J381" s="9"/>
    </row>
    <row r="382" spans="10:10" customFormat="1" ht="14.45" customHeight="1">
      <c r="J382" s="9"/>
    </row>
    <row r="383" spans="10:10" customFormat="1" ht="14.45" customHeight="1">
      <c r="J383" s="9"/>
    </row>
    <row r="384" spans="10:10" customFormat="1" ht="14.45" customHeight="1">
      <c r="J384" s="9"/>
    </row>
    <row r="385" spans="10:10" customFormat="1" ht="14.45" customHeight="1">
      <c r="J385" s="9"/>
    </row>
    <row r="386" spans="10:10" customFormat="1" ht="14.45" customHeight="1">
      <c r="J386" s="9"/>
    </row>
    <row r="387" spans="10:10" customFormat="1" ht="14.45" customHeight="1">
      <c r="J387" s="9"/>
    </row>
    <row r="388" spans="10:10" customFormat="1" ht="14.45" customHeight="1">
      <c r="J388" s="9"/>
    </row>
    <row r="389" spans="10:10" customFormat="1" ht="14.45" customHeight="1">
      <c r="J389" s="9"/>
    </row>
    <row r="390" spans="10:10" customFormat="1" ht="14.45" customHeight="1">
      <c r="J390" s="9"/>
    </row>
    <row r="391" spans="10:10" customFormat="1" ht="14.45" customHeight="1">
      <c r="J391" s="9"/>
    </row>
    <row r="392" spans="10:10" customFormat="1" ht="14.45" customHeight="1">
      <c r="J392" s="9"/>
    </row>
    <row r="393" spans="10:10" customFormat="1" ht="14.45" customHeight="1">
      <c r="J393" s="9"/>
    </row>
    <row r="394" spans="10:10" customFormat="1" ht="14.45" customHeight="1">
      <c r="J394" s="9"/>
    </row>
    <row r="395" spans="10:10" customFormat="1" ht="14.45" customHeight="1">
      <c r="J395" s="9"/>
    </row>
    <row r="396" spans="10:10" customFormat="1" ht="14.45" customHeight="1">
      <c r="J396" s="9"/>
    </row>
    <row r="397" spans="10:10" customFormat="1" ht="14.45" customHeight="1">
      <c r="J397" s="9"/>
    </row>
    <row r="398" spans="10:10" customFormat="1" ht="14.45" customHeight="1">
      <c r="J398" s="9"/>
    </row>
    <row r="399" spans="10:10" customFormat="1" ht="14.45" customHeight="1">
      <c r="J399" s="9"/>
    </row>
    <row r="400" spans="10:10" customFormat="1" ht="14.45" customHeight="1">
      <c r="J400" s="9"/>
    </row>
    <row r="401" spans="10:10" customFormat="1" ht="14.45" customHeight="1">
      <c r="J401" s="9"/>
    </row>
    <row r="402" spans="10:10" customFormat="1" ht="14.45" customHeight="1">
      <c r="J402" s="9"/>
    </row>
    <row r="403" spans="10:10" customFormat="1" ht="14.45" customHeight="1">
      <c r="J403" s="9"/>
    </row>
    <row r="404" spans="10:10" customFormat="1" ht="14.45" customHeight="1">
      <c r="J404" s="9"/>
    </row>
    <row r="405" spans="10:10" customFormat="1" ht="14.45" customHeight="1">
      <c r="J405" s="9"/>
    </row>
    <row r="406" spans="10:10" customFormat="1" ht="14.45" customHeight="1">
      <c r="J406" s="9"/>
    </row>
    <row r="407" spans="10:10" customFormat="1" ht="14.45" customHeight="1">
      <c r="J407" s="9"/>
    </row>
    <row r="408" spans="10:10" customFormat="1" ht="14.45" customHeight="1">
      <c r="J408" s="9"/>
    </row>
    <row r="409" spans="10:10" customFormat="1" ht="14.45" customHeight="1">
      <c r="J409" s="9"/>
    </row>
    <row r="410" spans="10:10" customFormat="1" ht="14.45" customHeight="1">
      <c r="J410" s="9"/>
    </row>
    <row r="411" spans="10:10" customFormat="1" ht="14.45" customHeight="1">
      <c r="J411" s="9"/>
    </row>
    <row r="412" spans="10:10" customFormat="1" ht="14.45" customHeight="1">
      <c r="J412" s="9"/>
    </row>
    <row r="413" spans="10:10" customFormat="1" ht="14.45" customHeight="1">
      <c r="J413" s="9"/>
    </row>
    <row r="414" spans="10:10" customFormat="1" ht="14.45" customHeight="1">
      <c r="J414" s="9"/>
    </row>
    <row r="415" spans="10:10" customFormat="1" ht="14.45" customHeight="1">
      <c r="J415" s="9"/>
    </row>
    <row r="416" spans="10:10" customFormat="1" ht="14.45" customHeight="1">
      <c r="J416" s="9"/>
    </row>
    <row r="417" spans="10:10" customFormat="1" ht="14.45" customHeight="1">
      <c r="J417" s="9"/>
    </row>
    <row r="418" spans="10:10" customFormat="1" ht="14.45" customHeight="1">
      <c r="J418" s="9"/>
    </row>
    <row r="419" spans="10:10" customFormat="1" ht="14.45" customHeight="1">
      <c r="J419" s="9"/>
    </row>
    <row r="420" spans="10:10" customFormat="1" ht="14.45" customHeight="1">
      <c r="J420" s="9"/>
    </row>
    <row r="421" spans="10:10" customFormat="1" ht="14.45" customHeight="1">
      <c r="J421" s="9"/>
    </row>
    <row r="422" spans="10:10" customFormat="1" ht="14.45" customHeight="1">
      <c r="J422" s="9"/>
    </row>
    <row r="423" spans="10:10" customFormat="1" ht="14.45" customHeight="1">
      <c r="J423" s="9"/>
    </row>
    <row r="424" spans="10:10" customFormat="1" ht="14.45" customHeight="1">
      <c r="J424" s="9"/>
    </row>
    <row r="425" spans="10:10" customFormat="1" ht="14.45" customHeight="1">
      <c r="J425" s="9"/>
    </row>
    <row r="426" spans="10:10" customFormat="1" ht="14.45" customHeight="1">
      <c r="J426" s="9"/>
    </row>
    <row r="427" spans="10:10" customFormat="1" ht="14.45" customHeight="1">
      <c r="J427" s="9"/>
    </row>
    <row r="428" spans="10:10" customFormat="1" ht="14.45" customHeight="1">
      <c r="J428" s="9"/>
    </row>
    <row r="429" spans="10:10" customFormat="1" ht="14.45" customHeight="1">
      <c r="J429" s="9"/>
    </row>
    <row r="430" spans="10:10" customFormat="1" ht="14.45" customHeight="1">
      <c r="J430" s="9"/>
    </row>
    <row r="431" spans="10:10" customFormat="1" ht="14.45" customHeight="1">
      <c r="J431" s="9"/>
    </row>
    <row r="432" spans="10:10" customFormat="1" ht="14.45" customHeight="1">
      <c r="J432" s="9"/>
    </row>
    <row r="433" spans="10:10" customFormat="1" ht="14.45" customHeight="1">
      <c r="J433" s="9"/>
    </row>
    <row r="434" spans="10:10" customFormat="1" ht="14.45" customHeight="1">
      <c r="J434" s="9"/>
    </row>
    <row r="435" spans="10:10" customFormat="1" ht="14.45" customHeight="1">
      <c r="J435" s="9"/>
    </row>
    <row r="436" spans="10:10" customFormat="1" ht="14.45" customHeight="1">
      <c r="J436" s="9"/>
    </row>
    <row r="437" spans="10:10" customFormat="1" ht="14.45" customHeight="1">
      <c r="J437" s="9"/>
    </row>
    <row r="438" spans="10:10" customFormat="1" ht="14.45" customHeight="1">
      <c r="J438" s="9"/>
    </row>
    <row r="439" spans="10:10" customFormat="1" ht="14.45" customHeight="1">
      <c r="J439" s="9"/>
    </row>
    <row r="440" spans="10:10" customFormat="1" ht="14.45" customHeight="1">
      <c r="J440" s="9"/>
    </row>
    <row r="441" spans="10:10" customFormat="1" ht="14.45" customHeight="1">
      <c r="J441" s="9"/>
    </row>
    <row r="442" spans="10:10" customFormat="1" ht="14.45" customHeight="1">
      <c r="J442" s="9"/>
    </row>
    <row r="443" spans="10:10" customFormat="1" ht="14.45" customHeight="1">
      <c r="J443" s="9"/>
    </row>
    <row r="444" spans="10:10" customFormat="1" ht="14.45" customHeight="1">
      <c r="J444" s="9"/>
    </row>
    <row r="445" spans="10:10" customFormat="1" ht="14.45" customHeight="1">
      <c r="J445" s="9"/>
    </row>
    <row r="446" spans="10:10" customFormat="1" ht="14.45" customHeight="1">
      <c r="J446" s="9"/>
    </row>
    <row r="447" spans="10:10" customFormat="1" ht="14.45" customHeight="1">
      <c r="J447" s="9"/>
    </row>
    <row r="448" spans="10:10" customFormat="1" ht="14.45" customHeight="1">
      <c r="J448" s="9"/>
    </row>
    <row r="449" spans="10:10" customFormat="1" ht="14.45" customHeight="1">
      <c r="J449" s="9"/>
    </row>
    <row r="450" spans="10:10" customFormat="1" ht="14.45" customHeight="1">
      <c r="J450" s="9"/>
    </row>
    <row r="451" spans="10:10" customFormat="1" ht="14.45" customHeight="1">
      <c r="J451" s="9"/>
    </row>
    <row r="452" spans="10:10" customFormat="1" ht="14.45" customHeight="1">
      <c r="J452" s="9"/>
    </row>
    <row r="453" spans="10:10" customFormat="1" ht="14.45" customHeight="1">
      <c r="J453" s="9"/>
    </row>
    <row r="454" spans="10:10" customFormat="1" ht="14.45" customHeight="1">
      <c r="J454" s="9"/>
    </row>
    <row r="455" spans="10:10" customFormat="1" ht="14.45" customHeight="1">
      <c r="J455" s="9"/>
    </row>
    <row r="456" spans="10:10" customFormat="1" ht="14.45" customHeight="1">
      <c r="J456" s="9"/>
    </row>
    <row r="457" spans="10:10" customFormat="1" ht="14.45" customHeight="1">
      <c r="J457" s="9"/>
    </row>
    <row r="458" spans="10:10" customFormat="1" ht="14.45" customHeight="1">
      <c r="J458" s="9"/>
    </row>
    <row r="459" spans="10:10" customFormat="1" ht="14.45" customHeight="1">
      <c r="J459" s="9"/>
    </row>
    <row r="460" spans="10:10" customFormat="1" ht="14.45" customHeight="1">
      <c r="J460" s="9"/>
    </row>
    <row r="461" spans="10:10" customFormat="1" ht="14.45" customHeight="1">
      <c r="J461" s="9"/>
    </row>
    <row r="462" spans="10:10" customFormat="1" ht="14.45" customHeight="1">
      <c r="J462" s="9"/>
    </row>
    <row r="463" spans="10:10" customFormat="1" ht="14.45" customHeight="1">
      <c r="J463" s="9"/>
    </row>
    <row r="464" spans="10:10" customFormat="1" ht="14.45" customHeight="1">
      <c r="J464" s="9"/>
    </row>
    <row r="465" spans="10:10" customFormat="1" ht="14.45" customHeight="1">
      <c r="J465" s="9"/>
    </row>
    <row r="466" spans="10:10" customFormat="1" ht="14.45" customHeight="1">
      <c r="J466" s="9"/>
    </row>
    <row r="467" spans="10:10" customFormat="1" ht="14.45" customHeight="1">
      <c r="J467" s="9"/>
    </row>
    <row r="468" spans="10:10" customFormat="1" ht="14.45" customHeight="1">
      <c r="J468" s="9"/>
    </row>
    <row r="469" spans="10:10" customFormat="1" ht="14.45" customHeight="1">
      <c r="J469" s="9"/>
    </row>
    <row r="470" spans="10:10" customFormat="1" ht="14.45" customHeight="1">
      <c r="J470" s="9"/>
    </row>
    <row r="471" spans="10:10" customFormat="1" ht="14.45" customHeight="1">
      <c r="J471" s="9"/>
    </row>
    <row r="472" spans="10:10" customFormat="1" ht="14.45" customHeight="1">
      <c r="J472" s="9"/>
    </row>
    <row r="473" spans="10:10" customFormat="1" ht="14.45" customHeight="1">
      <c r="J473" s="9"/>
    </row>
    <row r="474" spans="10:10" customFormat="1" ht="14.45" customHeight="1">
      <c r="J474" s="9"/>
    </row>
    <row r="475" spans="10:10" customFormat="1" ht="14.45" customHeight="1">
      <c r="J475" s="9"/>
    </row>
    <row r="476" spans="10:10" customFormat="1" ht="14.45" customHeight="1">
      <c r="J476" s="9"/>
    </row>
    <row r="477" spans="10:10" customFormat="1" ht="14.45" customHeight="1">
      <c r="J477" s="9"/>
    </row>
    <row r="478" spans="10:10" customFormat="1" ht="14.45" customHeight="1">
      <c r="J478" s="9"/>
    </row>
    <row r="479" spans="10:10" customFormat="1" ht="14.45" customHeight="1">
      <c r="J479" s="9"/>
    </row>
    <row r="480" spans="10:10" customFormat="1" ht="14.45" customHeight="1">
      <c r="J480" s="9"/>
    </row>
    <row r="481" spans="10:10" customFormat="1" ht="14.45" customHeight="1">
      <c r="J481" s="9"/>
    </row>
    <row r="482" spans="10:10" customFormat="1" ht="14.45" customHeight="1">
      <c r="J482" s="9"/>
    </row>
    <row r="483" spans="10:10" customFormat="1" ht="14.45" customHeight="1">
      <c r="J483" s="9"/>
    </row>
    <row r="484" spans="10:10" customFormat="1" ht="14.45" customHeight="1">
      <c r="J484" s="9"/>
    </row>
    <row r="485" spans="10:10" customFormat="1" ht="14.45" customHeight="1">
      <c r="J485" s="9"/>
    </row>
    <row r="486" spans="10:10" customFormat="1" ht="14.45" customHeight="1">
      <c r="J486" s="9"/>
    </row>
    <row r="487" spans="10:10" customFormat="1" ht="14.45" customHeight="1">
      <c r="J487" s="9"/>
    </row>
    <row r="488" spans="10:10" customFormat="1" ht="14.45" customHeight="1">
      <c r="J488" s="9"/>
    </row>
    <row r="489" spans="10:10" customFormat="1" ht="14.45" customHeight="1">
      <c r="J489" s="9"/>
    </row>
    <row r="490" spans="10:10" customFormat="1" ht="14.45" customHeight="1">
      <c r="J490" s="9"/>
    </row>
    <row r="491" spans="10:10" customFormat="1" ht="14.45" customHeight="1">
      <c r="J491" s="9"/>
    </row>
    <row r="492" spans="10:10" customFormat="1" ht="14.45" customHeight="1">
      <c r="J492" s="9"/>
    </row>
    <row r="493" spans="10:10" customFormat="1" ht="14.45" customHeight="1">
      <c r="J493" s="9"/>
    </row>
    <row r="494" spans="10:10" customFormat="1" ht="14.45" customHeight="1">
      <c r="J494" s="9"/>
    </row>
    <row r="495" spans="10:10" customFormat="1" ht="14.45" customHeight="1">
      <c r="J495" s="9"/>
    </row>
    <row r="496" spans="10:10" customFormat="1" ht="14.45" customHeight="1">
      <c r="J496" s="9"/>
    </row>
    <row r="497" spans="10:10" customFormat="1" ht="14.45" customHeight="1">
      <c r="J497" s="9"/>
    </row>
    <row r="498" spans="10:10" customFormat="1" ht="14.45" customHeight="1">
      <c r="J498" s="9"/>
    </row>
    <row r="499" spans="10:10" customFormat="1" ht="14.45" customHeight="1">
      <c r="J499" s="9"/>
    </row>
    <row r="500" spans="10:10" customFormat="1" ht="14.45" customHeight="1">
      <c r="J500" s="9"/>
    </row>
    <row r="501" spans="10:10" customFormat="1" ht="14.45" customHeight="1">
      <c r="J501" s="9"/>
    </row>
    <row r="502" spans="10:10" customFormat="1" ht="14.45" customHeight="1">
      <c r="J502" s="9"/>
    </row>
    <row r="503" spans="10:10" customFormat="1" ht="14.45" customHeight="1">
      <c r="J503" s="9"/>
    </row>
    <row r="504" spans="10:10" customFormat="1" ht="14.45" customHeight="1">
      <c r="J504" s="9"/>
    </row>
    <row r="505" spans="10:10" customFormat="1" ht="14.45" customHeight="1">
      <c r="J505" s="9"/>
    </row>
    <row r="506" spans="10:10" customFormat="1" ht="14.45" customHeight="1">
      <c r="J506" s="9"/>
    </row>
    <row r="507" spans="10:10" customFormat="1" ht="14.45" customHeight="1">
      <c r="J507" s="9"/>
    </row>
    <row r="508" spans="10:10" customFormat="1" ht="14.45" customHeight="1">
      <c r="J508" s="9"/>
    </row>
    <row r="509" spans="10:10" customFormat="1" ht="14.45" customHeight="1">
      <c r="J509" s="9"/>
    </row>
    <row r="510" spans="10:10" customFormat="1" ht="14.45" customHeight="1">
      <c r="J510" s="9"/>
    </row>
    <row r="511" spans="10:10" customFormat="1" ht="14.45" customHeight="1">
      <c r="J511" s="9"/>
    </row>
    <row r="512" spans="10:10" customFormat="1" ht="14.45" customHeight="1">
      <c r="J512" s="9"/>
    </row>
    <row r="513" spans="10:10" customFormat="1" ht="14.45" customHeight="1">
      <c r="J513" s="9"/>
    </row>
    <row r="514" spans="10:10" customFormat="1" ht="14.45" customHeight="1">
      <c r="J514" s="9"/>
    </row>
    <row r="515" spans="10:10" customFormat="1" ht="14.45" customHeight="1">
      <c r="J515" s="9"/>
    </row>
    <row r="516" spans="10:10" customFormat="1" ht="14.45" customHeight="1">
      <c r="J516" s="9"/>
    </row>
    <row r="517" spans="10:10" customFormat="1" ht="14.45" customHeight="1">
      <c r="J517" s="9"/>
    </row>
    <row r="518" spans="10:10" customFormat="1" ht="14.45" customHeight="1">
      <c r="J518" s="9"/>
    </row>
    <row r="519" spans="10:10" customFormat="1" ht="14.45" customHeight="1">
      <c r="J519" s="9"/>
    </row>
    <row r="520" spans="10:10" customFormat="1" ht="14.45" customHeight="1">
      <c r="J520" s="9"/>
    </row>
    <row r="521" spans="10:10" customFormat="1" ht="14.45" customHeight="1">
      <c r="J521" s="9"/>
    </row>
    <row r="522" spans="10:10" customFormat="1" ht="14.45" customHeight="1">
      <c r="J522" s="9"/>
    </row>
    <row r="523" spans="10:10" customFormat="1" ht="14.45" customHeight="1">
      <c r="J523" s="9"/>
    </row>
    <row r="524" spans="10:10" customFormat="1" ht="14.45" customHeight="1">
      <c r="J524" s="9"/>
    </row>
    <row r="525" spans="10:10" customFormat="1" ht="14.45" customHeight="1">
      <c r="J525" s="9"/>
    </row>
    <row r="526" spans="10:10" customFormat="1" ht="14.45" customHeight="1">
      <c r="J526" s="9"/>
    </row>
    <row r="527" spans="10:10" customFormat="1" ht="14.45" customHeight="1">
      <c r="J527" s="9"/>
    </row>
    <row r="528" spans="10:10" customFormat="1" ht="14.45" customHeight="1">
      <c r="J528" s="9"/>
    </row>
    <row r="529" spans="10:10" customFormat="1" ht="14.45" customHeight="1">
      <c r="J529" s="9"/>
    </row>
    <row r="530" spans="10:10" customFormat="1" ht="14.45" customHeight="1">
      <c r="J530" s="9"/>
    </row>
    <row r="531" spans="10:10" customFormat="1" ht="14.45" customHeight="1">
      <c r="J531" s="9"/>
    </row>
    <row r="532" spans="10:10" customFormat="1" ht="14.45" customHeight="1">
      <c r="J532" s="9"/>
    </row>
    <row r="533" spans="10:10" customFormat="1" ht="14.45" customHeight="1">
      <c r="J533" s="9"/>
    </row>
    <row r="534" spans="10:10" customFormat="1" ht="14.45" customHeight="1">
      <c r="J534" s="9"/>
    </row>
    <row r="535" spans="10:10" customFormat="1" ht="14.45" customHeight="1">
      <c r="J535" s="9"/>
    </row>
    <row r="536" spans="10:10" customFormat="1" ht="14.45" customHeight="1">
      <c r="J536" s="9"/>
    </row>
    <row r="537" spans="10:10" customFormat="1" ht="14.45" customHeight="1">
      <c r="J537" s="9"/>
    </row>
    <row r="538" spans="10:10" customFormat="1" ht="14.45" customHeight="1">
      <c r="J538" s="9"/>
    </row>
    <row r="539" spans="10:10" customFormat="1" ht="14.45" customHeight="1">
      <c r="J539" s="9"/>
    </row>
    <row r="540" spans="10:10" customFormat="1" ht="14.45" customHeight="1">
      <c r="J540" s="9"/>
    </row>
    <row r="541" spans="10:10" customFormat="1" ht="14.45" customHeight="1">
      <c r="J541" s="9"/>
    </row>
    <row r="542" spans="10:10" customFormat="1" ht="14.45" customHeight="1">
      <c r="J542" s="9"/>
    </row>
    <row r="543" spans="10:10" customFormat="1" ht="14.45" customHeight="1">
      <c r="J543" s="9"/>
    </row>
    <row r="544" spans="10:10" customFormat="1" ht="14.45" customHeight="1">
      <c r="J544" s="9"/>
    </row>
    <row r="545" spans="10:10" customFormat="1" ht="14.45" customHeight="1">
      <c r="J545" s="9"/>
    </row>
    <row r="546" spans="10:10" customFormat="1" ht="14.45" customHeight="1">
      <c r="J546" s="9"/>
    </row>
    <row r="547" spans="10:10" customFormat="1" ht="14.45" customHeight="1">
      <c r="J547" s="9"/>
    </row>
    <row r="548" spans="10:10" customFormat="1" ht="14.45" customHeight="1">
      <c r="J548" s="9"/>
    </row>
    <row r="549" spans="10:10" customFormat="1" ht="14.45" customHeight="1">
      <c r="J549" s="9"/>
    </row>
    <row r="550" spans="10:10" customFormat="1" ht="14.45" customHeight="1">
      <c r="J550" s="9"/>
    </row>
    <row r="551" spans="10:10" customFormat="1" ht="14.45" customHeight="1">
      <c r="J551" s="9"/>
    </row>
    <row r="552" spans="10:10" customFormat="1" ht="14.45" customHeight="1">
      <c r="J552" s="9"/>
    </row>
    <row r="553" spans="10:10" customFormat="1" ht="14.45" customHeight="1">
      <c r="J553" s="9"/>
    </row>
    <row r="554" spans="10:10" customFormat="1" ht="14.45" customHeight="1">
      <c r="J554" s="9"/>
    </row>
    <row r="555" spans="10:10" customFormat="1" ht="14.45" customHeight="1">
      <c r="J555" s="9"/>
    </row>
    <row r="556" spans="10:10" customFormat="1" ht="14.45" customHeight="1">
      <c r="J556" s="9"/>
    </row>
    <row r="557" spans="10:10" customFormat="1" ht="14.45" customHeight="1">
      <c r="J557" s="9"/>
    </row>
    <row r="558" spans="10:10" customFormat="1" ht="14.45" customHeight="1">
      <c r="J558" s="9"/>
    </row>
    <row r="559" spans="10:10" customFormat="1" ht="14.45" customHeight="1">
      <c r="J559" s="9"/>
    </row>
    <row r="560" spans="10:10" customFormat="1" ht="14.45" customHeight="1">
      <c r="J560" s="9"/>
    </row>
    <row r="561" spans="10:10" customFormat="1" ht="14.45" customHeight="1">
      <c r="J561" s="9"/>
    </row>
    <row r="562" spans="10:10" customFormat="1" ht="14.45" customHeight="1">
      <c r="J562" s="9"/>
    </row>
    <row r="563" spans="10:10" customFormat="1" ht="14.45" customHeight="1">
      <c r="J563" s="9"/>
    </row>
    <row r="564" spans="10:10" customFormat="1" ht="14.45" customHeight="1">
      <c r="J564" s="9"/>
    </row>
    <row r="565" spans="10:10" customFormat="1" ht="14.45" customHeight="1">
      <c r="J565" s="9"/>
    </row>
    <row r="566" spans="10:10" customFormat="1" ht="14.45" customHeight="1">
      <c r="J566" s="9"/>
    </row>
    <row r="567" spans="10:10" customFormat="1" ht="14.45" customHeight="1">
      <c r="J567" s="9"/>
    </row>
    <row r="568" spans="10:10" customFormat="1" ht="14.45" customHeight="1">
      <c r="J568" s="9"/>
    </row>
    <row r="569" spans="10:10" customFormat="1" ht="14.45" customHeight="1">
      <c r="J569" s="9"/>
    </row>
    <row r="570" spans="10:10" customFormat="1" ht="14.45" customHeight="1">
      <c r="J570" s="9"/>
    </row>
    <row r="571" spans="10:10" customFormat="1" ht="14.45" customHeight="1">
      <c r="J571" s="9"/>
    </row>
    <row r="572" spans="10:10" customFormat="1" ht="14.45" customHeight="1">
      <c r="J572" s="9"/>
    </row>
    <row r="573" spans="10:10" customFormat="1" ht="14.45" customHeight="1">
      <c r="J573" s="9"/>
    </row>
    <row r="574" spans="10:10" customFormat="1" ht="14.45" customHeight="1">
      <c r="J574" s="9"/>
    </row>
    <row r="575" spans="10:10" customFormat="1" ht="14.45" customHeight="1">
      <c r="J575" s="9"/>
    </row>
    <row r="576" spans="10:10" customFormat="1" ht="14.45" customHeight="1">
      <c r="J576" s="9"/>
    </row>
    <row r="577" spans="10:10" customFormat="1" ht="14.45" customHeight="1">
      <c r="J577" s="9"/>
    </row>
    <row r="578" spans="10:10" customFormat="1" ht="14.45" customHeight="1">
      <c r="J578" s="9"/>
    </row>
    <row r="579" spans="10:10" customFormat="1" ht="14.45" customHeight="1">
      <c r="J579" s="9"/>
    </row>
    <row r="580" spans="10:10" customFormat="1" ht="14.45" customHeight="1">
      <c r="J580" s="9"/>
    </row>
    <row r="581" spans="10:10" customFormat="1" ht="14.45" customHeight="1">
      <c r="J581" s="9"/>
    </row>
    <row r="582" spans="10:10" customFormat="1" ht="14.45" customHeight="1">
      <c r="J582" s="9"/>
    </row>
    <row r="583" spans="10:10" customFormat="1" ht="14.45" customHeight="1">
      <c r="J583" s="9"/>
    </row>
    <row r="584" spans="10:10" customFormat="1" ht="14.45" customHeight="1">
      <c r="J584" s="9"/>
    </row>
    <row r="585" spans="10:10" customFormat="1" ht="14.45" customHeight="1">
      <c r="J585" s="9"/>
    </row>
    <row r="586" spans="10:10" customFormat="1" ht="14.45" customHeight="1">
      <c r="J586" s="9"/>
    </row>
    <row r="587" spans="10:10" customFormat="1" ht="14.45" customHeight="1">
      <c r="J587" s="9"/>
    </row>
    <row r="588" spans="10:10" customFormat="1" ht="14.45" customHeight="1">
      <c r="J588" s="9"/>
    </row>
    <row r="589" spans="10:10" customFormat="1" ht="14.45" customHeight="1">
      <c r="J589" s="9"/>
    </row>
    <row r="590" spans="10:10" customFormat="1" ht="14.45" customHeight="1">
      <c r="J590" s="9"/>
    </row>
    <row r="591" spans="10:10" customFormat="1" ht="14.45" customHeight="1">
      <c r="J591" s="9"/>
    </row>
    <row r="592" spans="10:10" customFormat="1" ht="14.45" customHeight="1">
      <c r="J592" s="9"/>
    </row>
    <row r="593" spans="10:10" customFormat="1" ht="14.45" customHeight="1">
      <c r="J593" s="9"/>
    </row>
    <row r="594" spans="10:10" customFormat="1" ht="14.45" customHeight="1">
      <c r="J594" s="9"/>
    </row>
    <row r="595" spans="10:10" customFormat="1" ht="14.45" customHeight="1">
      <c r="J595" s="9"/>
    </row>
    <row r="596" spans="10:10" customFormat="1" ht="14.45" customHeight="1">
      <c r="J596" s="9"/>
    </row>
    <row r="597" spans="10:10" customFormat="1" ht="14.45" customHeight="1">
      <c r="J597" s="9"/>
    </row>
    <row r="598" spans="10:10" customFormat="1" ht="14.45" customHeight="1">
      <c r="J598" s="9"/>
    </row>
    <row r="599" spans="10:10" customFormat="1" ht="14.45" customHeight="1">
      <c r="J599" s="9"/>
    </row>
    <row r="600" spans="10:10" customFormat="1" ht="14.45" customHeight="1">
      <c r="J600" s="9"/>
    </row>
    <row r="601" spans="10:10" customFormat="1" ht="14.45" customHeight="1">
      <c r="J601" s="9"/>
    </row>
    <row r="602" spans="10:10" customFormat="1" ht="14.45" customHeight="1">
      <c r="J602" s="9"/>
    </row>
    <row r="603" spans="10:10" customFormat="1" ht="14.45" customHeight="1">
      <c r="J603" s="9"/>
    </row>
    <row r="604" spans="10:10" customFormat="1" ht="14.45" customHeight="1">
      <c r="J604" s="9"/>
    </row>
    <row r="605" spans="10:10" customFormat="1" ht="14.45" customHeight="1">
      <c r="J605" s="9"/>
    </row>
    <row r="606" spans="10:10" customFormat="1" ht="14.45" customHeight="1">
      <c r="J606" s="9"/>
    </row>
    <row r="607" spans="10:10" customFormat="1" ht="14.45" customHeight="1">
      <c r="J607" s="9"/>
    </row>
    <row r="608" spans="10:10" customFormat="1" ht="14.45" customHeight="1">
      <c r="J608" s="9"/>
    </row>
    <row r="609" spans="10:10" customFormat="1" ht="14.45" customHeight="1">
      <c r="J609" s="9"/>
    </row>
    <row r="610" spans="10:10" customFormat="1" ht="14.45" customHeight="1">
      <c r="J610" s="9"/>
    </row>
    <row r="611" spans="10:10" customFormat="1" ht="14.45" customHeight="1">
      <c r="J611" s="9"/>
    </row>
    <row r="612" spans="10:10" customFormat="1" ht="14.45" customHeight="1">
      <c r="J612" s="9"/>
    </row>
    <row r="613" spans="10:10" customFormat="1" ht="14.45" customHeight="1">
      <c r="J613" s="9"/>
    </row>
    <row r="614" spans="10:10" customFormat="1" ht="14.45" customHeight="1">
      <c r="J614" s="9"/>
    </row>
    <row r="615" spans="10:10" customFormat="1" ht="14.45" customHeight="1">
      <c r="J615" s="9"/>
    </row>
    <row r="616" spans="10:10" customFormat="1" ht="14.45" customHeight="1">
      <c r="J616" s="9"/>
    </row>
    <row r="617" spans="10:10" customFormat="1" ht="14.45" customHeight="1">
      <c r="J617" s="9"/>
    </row>
    <row r="618" spans="10:10" customFormat="1" ht="14.45" customHeight="1">
      <c r="J618" s="9"/>
    </row>
    <row r="619" spans="10:10" customFormat="1" ht="14.45" customHeight="1">
      <c r="J619" s="9"/>
    </row>
    <row r="620" spans="10:10" customFormat="1" ht="14.45" customHeight="1">
      <c r="J620" s="9"/>
    </row>
    <row r="621" spans="10:10" customFormat="1" ht="14.45" customHeight="1">
      <c r="J621" s="9"/>
    </row>
    <row r="622" spans="10:10" customFormat="1" ht="14.45" customHeight="1">
      <c r="J622" s="9"/>
    </row>
    <row r="623" spans="10:10" customFormat="1" ht="14.45" customHeight="1">
      <c r="J623" s="9"/>
    </row>
    <row r="624" spans="10:10" customFormat="1" ht="14.45" customHeight="1">
      <c r="J624" s="9"/>
    </row>
    <row r="625" spans="10:10" customFormat="1" ht="14.45" customHeight="1">
      <c r="J625" s="9"/>
    </row>
    <row r="626" spans="10:10" customFormat="1" ht="14.45" customHeight="1">
      <c r="J626" s="9"/>
    </row>
    <row r="627" spans="10:10" customFormat="1" ht="14.45" customHeight="1">
      <c r="J627" s="9"/>
    </row>
    <row r="628" spans="10:10" customFormat="1" ht="14.45" customHeight="1">
      <c r="J628" s="9"/>
    </row>
    <row r="629" spans="10:10" customFormat="1" ht="14.45" customHeight="1">
      <c r="J629" s="9"/>
    </row>
    <row r="630" spans="10:10" customFormat="1" ht="14.45" customHeight="1">
      <c r="J630" s="9"/>
    </row>
    <row r="631" spans="10:10" customFormat="1" ht="14.45" customHeight="1">
      <c r="J631" s="9"/>
    </row>
    <row r="632" spans="10:10" customFormat="1" ht="14.45" customHeight="1">
      <c r="J632" s="9"/>
    </row>
    <row r="633" spans="10:10" customFormat="1" ht="14.45" customHeight="1">
      <c r="J633" s="9"/>
    </row>
    <row r="634" spans="10:10" customFormat="1" ht="14.45" customHeight="1">
      <c r="J634" s="9"/>
    </row>
    <row r="635" spans="10:10" customFormat="1" ht="14.45" customHeight="1">
      <c r="J635" s="9"/>
    </row>
    <row r="636" spans="10:10" customFormat="1" ht="14.45" customHeight="1">
      <c r="J636" s="9"/>
    </row>
    <row r="637" spans="10:10" customFormat="1" ht="14.45" customHeight="1">
      <c r="J637" s="9"/>
    </row>
    <row r="638" spans="10:10" customFormat="1" ht="14.45" customHeight="1">
      <c r="J638" s="9"/>
    </row>
    <row r="639" spans="10:10" customFormat="1" ht="14.45" customHeight="1">
      <c r="J639" s="9"/>
    </row>
    <row r="640" spans="10:10" customFormat="1" ht="14.45" customHeight="1">
      <c r="J640" s="9"/>
    </row>
    <row r="641" spans="10:10" customFormat="1" ht="14.45" customHeight="1">
      <c r="J641" s="9"/>
    </row>
    <row r="642" spans="10:10" customFormat="1" ht="14.45" customHeight="1">
      <c r="J642" s="9"/>
    </row>
    <row r="643" spans="10:10" customFormat="1" ht="14.45" customHeight="1">
      <c r="J643" s="9"/>
    </row>
    <row r="644" spans="10:10" customFormat="1" ht="14.45" customHeight="1">
      <c r="J644" s="9"/>
    </row>
    <row r="645" spans="10:10" customFormat="1" ht="14.45" customHeight="1">
      <c r="J645" s="9"/>
    </row>
    <row r="646" spans="10:10" customFormat="1" ht="14.45" customHeight="1">
      <c r="J646" s="9"/>
    </row>
    <row r="647" spans="10:10" customFormat="1" ht="14.45" customHeight="1">
      <c r="J647" s="9"/>
    </row>
    <row r="648" spans="10:10" customFormat="1" ht="14.45" customHeight="1">
      <c r="J648" s="9"/>
    </row>
    <row r="649" spans="10:10" customFormat="1" ht="14.45" customHeight="1">
      <c r="J649" s="9"/>
    </row>
    <row r="650" spans="10:10" customFormat="1" ht="14.45" customHeight="1">
      <c r="J650" s="9"/>
    </row>
    <row r="651" spans="10:10" customFormat="1" ht="14.45" customHeight="1">
      <c r="J651" s="9"/>
    </row>
    <row r="652" spans="10:10" customFormat="1" ht="14.45" customHeight="1">
      <c r="J652" s="9"/>
    </row>
    <row r="653" spans="10:10" customFormat="1" ht="14.45" customHeight="1">
      <c r="J653" s="9"/>
    </row>
    <row r="654" spans="10:10" customFormat="1" ht="14.45" customHeight="1">
      <c r="J654" s="9"/>
    </row>
    <row r="655" spans="10:10" customFormat="1" ht="14.45" customHeight="1">
      <c r="J655" s="9"/>
    </row>
    <row r="656" spans="10:10" customFormat="1" ht="14.45" customHeight="1">
      <c r="J656" s="9"/>
    </row>
    <row r="657" spans="10:10" customFormat="1" ht="14.45" customHeight="1">
      <c r="J657" s="9"/>
    </row>
    <row r="658" spans="10:10" customFormat="1" ht="14.45" customHeight="1">
      <c r="J658" s="9"/>
    </row>
    <row r="659" spans="10:10" customFormat="1" ht="14.45" customHeight="1">
      <c r="J659" s="9"/>
    </row>
    <row r="660" spans="10:10" customFormat="1" ht="14.45" customHeight="1">
      <c r="J660" s="9"/>
    </row>
    <row r="661" spans="10:10" customFormat="1" ht="14.45" customHeight="1">
      <c r="J661" s="9"/>
    </row>
    <row r="662" spans="10:10" customFormat="1" ht="14.45" customHeight="1">
      <c r="J662" s="9"/>
    </row>
    <row r="663" spans="10:10" customFormat="1" ht="14.45" customHeight="1">
      <c r="J663" s="9"/>
    </row>
    <row r="664" spans="10:10" customFormat="1" ht="14.45" customHeight="1">
      <c r="J664" s="9"/>
    </row>
    <row r="665" spans="10:10" customFormat="1" ht="14.45" customHeight="1">
      <c r="J665" s="9"/>
    </row>
    <row r="666" spans="10:10" customFormat="1" ht="14.45" customHeight="1">
      <c r="J666" s="9"/>
    </row>
    <row r="667" spans="10:10" customFormat="1" ht="14.45" customHeight="1">
      <c r="J667" s="9"/>
    </row>
    <row r="668" spans="10:10" customFormat="1" ht="14.45" customHeight="1">
      <c r="J668" s="9"/>
    </row>
    <row r="669" spans="10:10" customFormat="1" ht="14.45" customHeight="1">
      <c r="J669" s="9"/>
    </row>
    <row r="670" spans="10:10" customFormat="1" ht="14.45" customHeight="1">
      <c r="J670" s="9"/>
    </row>
    <row r="671" spans="10:10" customFormat="1" ht="14.45" customHeight="1">
      <c r="J671" s="9"/>
    </row>
    <row r="672" spans="10:10" customFormat="1" ht="14.45" customHeight="1">
      <c r="J672" s="9"/>
    </row>
    <row r="673" spans="10:10" customFormat="1" ht="14.45" customHeight="1">
      <c r="J673" s="9"/>
    </row>
    <row r="674" spans="10:10" customFormat="1" ht="14.45" customHeight="1">
      <c r="J674" s="9"/>
    </row>
    <row r="675" spans="10:10" customFormat="1" ht="14.45" customHeight="1">
      <c r="J675" s="9"/>
    </row>
    <row r="676" spans="10:10" customFormat="1" ht="14.45" customHeight="1">
      <c r="J676" s="9"/>
    </row>
    <row r="677" spans="10:10" customFormat="1" ht="14.45" customHeight="1">
      <c r="J677" s="9"/>
    </row>
    <row r="678" spans="10:10" customFormat="1" ht="14.45" customHeight="1">
      <c r="J678" s="9"/>
    </row>
    <row r="679" spans="10:10" customFormat="1" ht="14.45" customHeight="1">
      <c r="J679" s="9"/>
    </row>
    <row r="680" spans="10:10" customFormat="1" ht="14.45" customHeight="1">
      <c r="J680" s="9"/>
    </row>
    <row r="681" spans="10:10" customFormat="1" ht="14.45" customHeight="1">
      <c r="J681" s="9"/>
    </row>
    <row r="682" spans="10:10" customFormat="1" ht="14.45" customHeight="1">
      <c r="J682" s="9"/>
    </row>
    <row r="683" spans="10:10" customFormat="1" ht="14.45" customHeight="1">
      <c r="J683" s="9"/>
    </row>
    <row r="684" spans="10:10" customFormat="1" ht="14.45" customHeight="1">
      <c r="J684" s="9"/>
    </row>
    <row r="685" spans="10:10" customFormat="1" ht="14.45" customHeight="1">
      <c r="J685" s="9"/>
    </row>
    <row r="686" spans="10:10" customFormat="1" ht="14.45" customHeight="1">
      <c r="J686" s="9"/>
    </row>
    <row r="687" spans="10:10" customFormat="1" ht="14.45" customHeight="1">
      <c r="J687" s="9"/>
    </row>
    <row r="688" spans="10:10" customFormat="1" ht="14.45" customHeight="1">
      <c r="J688" s="9"/>
    </row>
    <row r="689" spans="10:10" customFormat="1" ht="14.45" customHeight="1">
      <c r="J689" s="9"/>
    </row>
    <row r="690" spans="10:10" customFormat="1" ht="14.45" customHeight="1">
      <c r="J690" s="9"/>
    </row>
    <row r="691" spans="10:10" customFormat="1" ht="14.45" customHeight="1">
      <c r="J691" s="9"/>
    </row>
    <row r="692" spans="10:10" customFormat="1" ht="14.45" customHeight="1">
      <c r="J692" s="9"/>
    </row>
    <row r="693" spans="10:10" customFormat="1" ht="14.45" customHeight="1">
      <c r="J693" s="9"/>
    </row>
    <row r="694" spans="10:10" customFormat="1" ht="14.45" customHeight="1">
      <c r="J694" s="9"/>
    </row>
    <row r="695" spans="10:10" customFormat="1" ht="14.45" customHeight="1">
      <c r="J695" s="9"/>
    </row>
    <row r="696" spans="10:10" customFormat="1" ht="14.45" customHeight="1">
      <c r="J696" s="9"/>
    </row>
    <row r="697" spans="10:10" customFormat="1" ht="14.45" customHeight="1">
      <c r="J697" s="9"/>
    </row>
    <row r="698" spans="10:10" customFormat="1" ht="14.45" customHeight="1">
      <c r="J698" s="9"/>
    </row>
    <row r="699" spans="10:10" customFormat="1" ht="14.45" customHeight="1">
      <c r="J699" s="9"/>
    </row>
    <row r="700" spans="10:10" customFormat="1" ht="14.45" customHeight="1">
      <c r="J700" s="9"/>
    </row>
    <row r="701" spans="10:10" customFormat="1" ht="14.45" customHeight="1">
      <c r="J701" s="9"/>
    </row>
    <row r="702" spans="10:10" customFormat="1" ht="14.45" customHeight="1">
      <c r="J702" s="9"/>
    </row>
    <row r="703" spans="10:10" customFormat="1" ht="14.45" customHeight="1">
      <c r="J703" s="9"/>
    </row>
    <row r="704" spans="10:10" customFormat="1" ht="14.45" customHeight="1">
      <c r="J704" s="9"/>
    </row>
    <row r="705" spans="10:10" customFormat="1" ht="14.45" customHeight="1">
      <c r="J705" s="9"/>
    </row>
    <row r="706" spans="10:10" customFormat="1" ht="14.45" customHeight="1">
      <c r="J706" s="9"/>
    </row>
    <row r="707" spans="10:10" customFormat="1" ht="14.45" customHeight="1">
      <c r="J707" s="9"/>
    </row>
    <row r="708" spans="10:10" customFormat="1" ht="14.45" customHeight="1">
      <c r="J708" s="9"/>
    </row>
    <row r="709" spans="10:10" customFormat="1" ht="14.45" customHeight="1">
      <c r="J709" s="9"/>
    </row>
    <row r="710" spans="10:10" customFormat="1" ht="14.45" customHeight="1">
      <c r="J710" s="9"/>
    </row>
    <row r="711" spans="10:10" customFormat="1" ht="14.45" customHeight="1">
      <c r="J711" s="9"/>
    </row>
    <row r="712" spans="10:10" customFormat="1" ht="14.45" customHeight="1">
      <c r="J712" s="9"/>
    </row>
    <row r="713" spans="10:10" customFormat="1" ht="14.45" customHeight="1">
      <c r="J713" s="9"/>
    </row>
    <row r="714" spans="10:10" customFormat="1" ht="14.45" customHeight="1">
      <c r="J714" s="9"/>
    </row>
    <row r="715" spans="10:10" customFormat="1" ht="14.45" customHeight="1">
      <c r="J715" s="9"/>
    </row>
    <row r="716" spans="10:10" customFormat="1" ht="14.45" customHeight="1">
      <c r="J716" s="9"/>
    </row>
    <row r="717" spans="10:10" customFormat="1" ht="14.45" customHeight="1">
      <c r="J717" s="9"/>
    </row>
    <row r="718" spans="10:10" customFormat="1" ht="14.45" customHeight="1">
      <c r="J718" s="9"/>
    </row>
    <row r="719" spans="10:10" customFormat="1" ht="14.45" customHeight="1">
      <c r="J719" s="9"/>
    </row>
    <row r="720" spans="10:10" customFormat="1" ht="14.45" customHeight="1">
      <c r="J720" s="9"/>
    </row>
    <row r="721" spans="10:10" customFormat="1" ht="14.45" customHeight="1">
      <c r="J721" s="9"/>
    </row>
    <row r="722" spans="10:10" customFormat="1" ht="14.45" customHeight="1">
      <c r="J722" s="9"/>
    </row>
    <row r="723" spans="10:10" customFormat="1" ht="14.45" customHeight="1">
      <c r="J723" s="9"/>
    </row>
    <row r="724" spans="10:10" customFormat="1" ht="14.45" customHeight="1">
      <c r="J724" s="9"/>
    </row>
    <row r="725" spans="10:10" customFormat="1" ht="14.45" customHeight="1">
      <c r="J725" s="9"/>
    </row>
    <row r="726" spans="10:10" customFormat="1" ht="14.45" customHeight="1">
      <c r="J726" s="9"/>
    </row>
    <row r="727" spans="10:10" customFormat="1" ht="14.45" customHeight="1">
      <c r="J727" s="9"/>
    </row>
    <row r="728" spans="10:10" customFormat="1" ht="14.45" customHeight="1">
      <c r="J728" s="9"/>
    </row>
    <row r="729" spans="10:10" customFormat="1" ht="14.45" customHeight="1">
      <c r="J729" s="9"/>
    </row>
    <row r="730" spans="10:10" customFormat="1" ht="14.45" customHeight="1">
      <c r="J730" s="9"/>
    </row>
    <row r="731" spans="10:10" customFormat="1" ht="14.45" customHeight="1">
      <c r="J731" s="9"/>
    </row>
    <row r="732" spans="10:10" customFormat="1" ht="14.45" customHeight="1">
      <c r="J732" s="9"/>
    </row>
    <row r="733" spans="10:10" customFormat="1" ht="14.45" customHeight="1">
      <c r="J733" s="9"/>
    </row>
    <row r="734" spans="10:10" customFormat="1" ht="14.45" customHeight="1">
      <c r="J734" s="9"/>
    </row>
    <row r="735" spans="10:10" customFormat="1" ht="14.45" customHeight="1">
      <c r="J735" s="9"/>
    </row>
    <row r="736" spans="10:10" customFormat="1" ht="14.45" customHeight="1">
      <c r="J736" s="9"/>
    </row>
    <row r="737" spans="10:10" customFormat="1" ht="14.45" customHeight="1">
      <c r="J737" s="9"/>
    </row>
    <row r="738" spans="10:10" customFormat="1" ht="14.45" customHeight="1">
      <c r="J738" s="9"/>
    </row>
    <row r="739" spans="10:10" customFormat="1" ht="14.45" customHeight="1">
      <c r="J739" s="9"/>
    </row>
    <row r="740" spans="10:10" customFormat="1" ht="14.45" customHeight="1">
      <c r="J740" s="9"/>
    </row>
    <row r="741" spans="10:10" customFormat="1" ht="14.45" customHeight="1">
      <c r="J741" s="9"/>
    </row>
    <row r="742" spans="10:10" customFormat="1" ht="14.45" customHeight="1">
      <c r="J742" s="9"/>
    </row>
    <row r="743" spans="10:10" customFormat="1" ht="14.45" customHeight="1">
      <c r="J743" s="9"/>
    </row>
    <row r="744" spans="10:10" customFormat="1" ht="14.45" customHeight="1">
      <c r="J744" s="9"/>
    </row>
    <row r="745" spans="10:10" customFormat="1" ht="14.45" customHeight="1">
      <c r="J745" s="9"/>
    </row>
    <row r="746" spans="10:10" customFormat="1" ht="14.45" customHeight="1">
      <c r="J746" s="9"/>
    </row>
    <row r="747" spans="10:10" customFormat="1" ht="14.45" customHeight="1">
      <c r="J747" s="9"/>
    </row>
    <row r="748" spans="10:10" customFormat="1" ht="14.45" customHeight="1">
      <c r="J748" s="9"/>
    </row>
    <row r="749" spans="10:10" customFormat="1" ht="14.45" customHeight="1">
      <c r="J749" s="9"/>
    </row>
    <row r="750" spans="10:10" customFormat="1" ht="14.45" customHeight="1">
      <c r="J750" s="9"/>
    </row>
    <row r="751" spans="10:10" customFormat="1" ht="14.45" customHeight="1">
      <c r="J751" s="9"/>
    </row>
    <row r="752" spans="10:10" customFormat="1" ht="14.45" customHeight="1">
      <c r="J752" s="9"/>
    </row>
    <row r="753" spans="10:10" customFormat="1" ht="14.45" customHeight="1">
      <c r="J753" s="9"/>
    </row>
    <row r="754" spans="10:10" customFormat="1" ht="14.45" customHeight="1">
      <c r="J754" s="9"/>
    </row>
    <row r="755" spans="10:10" customFormat="1" ht="14.45" customHeight="1">
      <c r="J755" s="9"/>
    </row>
    <row r="756" spans="10:10" customFormat="1" ht="14.45" customHeight="1">
      <c r="J756" s="9"/>
    </row>
    <row r="757" spans="10:10" customFormat="1" ht="14.45" customHeight="1">
      <c r="J757" s="9"/>
    </row>
    <row r="758" spans="10:10" customFormat="1" ht="14.45" customHeight="1">
      <c r="J758" s="9"/>
    </row>
    <row r="759" spans="10:10" customFormat="1" ht="14.45" customHeight="1">
      <c r="J759" s="9"/>
    </row>
    <row r="760" spans="10:10" customFormat="1" ht="14.45" customHeight="1">
      <c r="J760" s="9"/>
    </row>
    <row r="761" spans="10:10" customFormat="1" ht="14.45" customHeight="1">
      <c r="J761" s="9"/>
    </row>
    <row r="762" spans="10:10" customFormat="1" ht="14.45" customHeight="1">
      <c r="J762" s="9"/>
    </row>
    <row r="763" spans="10:10" customFormat="1" ht="14.45" customHeight="1">
      <c r="J763" s="9"/>
    </row>
    <row r="764" spans="10:10" customFormat="1" ht="14.45" customHeight="1">
      <c r="J764" s="9"/>
    </row>
    <row r="765" spans="10:10" customFormat="1" ht="14.45" customHeight="1">
      <c r="J765" s="9"/>
    </row>
    <row r="766" spans="10:10" customFormat="1" ht="14.45" customHeight="1">
      <c r="J766" s="9"/>
    </row>
    <row r="767" spans="10:10" customFormat="1" ht="14.45" customHeight="1">
      <c r="J767" s="9"/>
    </row>
    <row r="768" spans="10:10" customFormat="1" ht="14.45" customHeight="1">
      <c r="J768" s="9"/>
    </row>
    <row r="769" spans="10:10" customFormat="1" ht="14.45" customHeight="1">
      <c r="J769" s="9"/>
    </row>
    <row r="770" spans="10:10" customFormat="1" ht="14.45" customHeight="1">
      <c r="J770" s="9"/>
    </row>
    <row r="771" spans="10:10" customFormat="1" ht="14.45" customHeight="1">
      <c r="J771" s="9"/>
    </row>
    <row r="772" spans="10:10" customFormat="1" ht="14.45" customHeight="1">
      <c r="J772" s="9"/>
    </row>
    <row r="773" spans="10:10" customFormat="1" ht="14.45" customHeight="1">
      <c r="J773" s="9"/>
    </row>
    <row r="774" spans="10:10" customFormat="1" ht="14.45" customHeight="1">
      <c r="J774" s="9"/>
    </row>
    <row r="775" spans="10:10" customFormat="1" ht="14.45" customHeight="1">
      <c r="J775" s="9"/>
    </row>
    <row r="776" spans="10:10" customFormat="1" ht="14.45" customHeight="1">
      <c r="J776" s="9"/>
    </row>
    <row r="777" spans="10:10" customFormat="1" ht="14.45" customHeight="1">
      <c r="J777" s="9"/>
    </row>
    <row r="778" spans="10:10" customFormat="1" ht="14.45" customHeight="1">
      <c r="J778" s="9"/>
    </row>
    <row r="779" spans="10:10" customFormat="1" ht="14.45" customHeight="1">
      <c r="J779" s="9"/>
    </row>
    <row r="780" spans="10:10" customFormat="1" ht="14.45" customHeight="1">
      <c r="J780" s="9"/>
    </row>
    <row r="781" spans="10:10" customFormat="1" ht="14.45" customHeight="1">
      <c r="J781" s="9"/>
    </row>
    <row r="782" spans="10:10" customFormat="1" ht="14.45" customHeight="1">
      <c r="J782" s="9"/>
    </row>
    <row r="783" spans="10:10" customFormat="1" ht="14.45" customHeight="1">
      <c r="J783" s="9"/>
    </row>
    <row r="784" spans="10:10" customFormat="1" ht="14.45" customHeight="1">
      <c r="J784" s="9"/>
    </row>
    <row r="785" spans="10:10" customFormat="1" ht="14.45" customHeight="1">
      <c r="J785" s="9"/>
    </row>
    <row r="786" spans="10:10" customFormat="1" ht="14.45" customHeight="1">
      <c r="J786" s="9"/>
    </row>
    <row r="787" spans="10:10" customFormat="1" ht="14.45" customHeight="1">
      <c r="J787" s="9"/>
    </row>
    <row r="788" spans="10:10" customFormat="1" ht="14.45" customHeight="1">
      <c r="J788" s="9"/>
    </row>
    <row r="789" spans="10:10" customFormat="1" ht="14.45" customHeight="1">
      <c r="J789" s="9"/>
    </row>
    <row r="790" spans="10:10" customFormat="1" ht="14.45" customHeight="1">
      <c r="J790" s="9"/>
    </row>
    <row r="791" spans="10:10" customFormat="1" ht="14.45" customHeight="1">
      <c r="J791" s="9"/>
    </row>
    <row r="792" spans="10:10" customFormat="1" ht="14.45" customHeight="1">
      <c r="J792" s="9"/>
    </row>
    <row r="793" spans="10:10" customFormat="1" ht="14.45" customHeight="1">
      <c r="J793" s="9"/>
    </row>
    <row r="794" spans="10:10" customFormat="1" ht="14.45" customHeight="1">
      <c r="J794" s="9"/>
    </row>
    <row r="795" spans="10:10" customFormat="1" ht="14.45" customHeight="1">
      <c r="J795" s="9"/>
    </row>
    <row r="796" spans="10:10" customFormat="1" ht="14.45" customHeight="1">
      <c r="J796" s="9"/>
    </row>
    <row r="797" spans="10:10" customFormat="1" ht="14.45" customHeight="1">
      <c r="J797" s="9"/>
    </row>
    <row r="798" spans="10:10" customFormat="1" ht="14.45" customHeight="1">
      <c r="J798" s="9"/>
    </row>
    <row r="799" spans="10:10" customFormat="1" ht="14.45" customHeight="1">
      <c r="J799" s="9"/>
    </row>
    <row r="800" spans="10:10" customFormat="1" ht="14.45" customHeight="1">
      <c r="J800" s="9"/>
    </row>
    <row r="801" spans="10:10" customFormat="1" ht="14.45" customHeight="1">
      <c r="J801" s="9"/>
    </row>
    <row r="802" spans="10:10" customFormat="1" ht="14.45" customHeight="1">
      <c r="J802" s="9"/>
    </row>
    <row r="803" spans="10:10" customFormat="1" ht="14.45" customHeight="1">
      <c r="J803" s="9"/>
    </row>
    <row r="804" spans="10:10" customFormat="1" ht="14.45" customHeight="1">
      <c r="J804" s="9"/>
    </row>
    <row r="805" spans="10:10" customFormat="1" ht="14.45" customHeight="1">
      <c r="J805" s="9"/>
    </row>
    <row r="806" spans="10:10" customFormat="1" ht="14.45" customHeight="1">
      <c r="J806" s="9"/>
    </row>
    <row r="807" spans="10:10" customFormat="1" ht="14.45" customHeight="1">
      <c r="J807" s="9"/>
    </row>
    <row r="808" spans="10:10" customFormat="1" ht="14.45" customHeight="1">
      <c r="J808" s="9"/>
    </row>
    <row r="809" spans="10:10" customFormat="1" ht="14.45" customHeight="1">
      <c r="J809" s="9"/>
    </row>
    <row r="810" spans="10:10" customFormat="1" ht="14.45" customHeight="1">
      <c r="J810" s="9"/>
    </row>
    <row r="811" spans="10:10" customFormat="1" ht="14.45" customHeight="1">
      <c r="J811" s="9"/>
    </row>
    <row r="812" spans="10:10" customFormat="1" ht="14.45" customHeight="1">
      <c r="J812" s="9"/>
    </row>
    <row r="813" spans="10:10" customFormat="1" ht="14.45" customHeight="1">
      <c r="J813" s="9"/>
    </row>
    <row r="814" spans="10:10" customFormat="1" ht="14.45" customHeight="1">
      <c r="J814" s="9"/>
    </row>
    <row r="815" spans="10:10" customFormat="1" ht="14.45" customHeight="1">
      <c r="J815" s="9"/>
    </row>
    <row r="816" spans="10:10" customFormat="1" ht="14.45" customHeight="1">
      <c r="J816" s="9"/>
    </row>
    <row r="817" spans="10:10" customFormat="1" ht="14.45" customHeight="1">
      <c r="J817" s="9"/>
    </row>
    <row r="818" spans="10:10" customFormat="1" ht="14.45" customHeight="1">
      <c r="J818" s="9"/>
    </row>
    <row r="819" spans="10:10" customFormat="1" ht="14.45" customHeight="1">
      <c r="J819" s="9"/>
    </row>
    <row r="820" spans="10:10" customFormat="1" ht="14.45" customHeight="1">
      <c r="J820" s="9"/>
    </row>
    <row r="821" spans="10:10" customFormat="1" ht="14.45" customHeight="1">
      <c r="J821" s="9"/>
    </row>
    <row r="822" spans="10:10" customFormat="1" ht="14.45" customHeight="1">
      <c r="J822" s="9"/>
    </row>
    <row r="823" spans="10:10" customFormat="1" ht="14.45" customHeight="1">
      <c r="J823" s="9"/>
    </row>
    <row r="824" spans="10:10" customFormat="1" ht="14.45" customHeight="1">
      <c r="J824" s="9"/>
    </row>
    <row r="825" spans="10:10" customFormat="1" ht="14.45" customHeight="1">
      <c r="J825" s="9"/>
    </row>
    <row r="826" spans="10:10" customFormat="1" ht="14.45" customHeight="1">
      <c r="J826" s="9"/>
    </row>
    <row r="827" spans="10:10" customFormat="1" ht="14.45" customHeight="1">
      <c r="J827" s="9"/>
    </row>
    <row r="828" spans="10:10" customFormat="1" ht="14.45" customHeight="1">
      <c r="J828" s="9"/>
    </row>
    <row r="829" spans="10:10" customFormat="1" ht="14.45" customHeight="1">
      <c r="J829" s="9"/>
    </row>
    <row r="830" spans="10:10" customFormat="1" ht="14.45" customHeight="1">
      <c r="J830" s="9"/>
    </row>
    <row r="831" spans="10:10" customFormat="1" ht="14.45" customHeight="1">
      <c r="J831" s="9"/>
    </row>
    <row r="832" spans="10:10" customFormat="1" ht="14.45" customHeight="1">
      <c r="J832" s="9"/>
    </row>
    <row r="833" spans="10:10" customFormat="1" ht="14.45" customHeight="1">
      <c r="J833" s="9"/>
    </row>
    <row r="834" spans="10:10" customFormat="1" ht="14.45" customHeight="1">
      <c r="J834" s="9"/>
    </row>
    <row r="835" spans="10:10" customFormat="1" ht="14.45" customHeight="1">
      <c r="J835" s="9"/>
    </row>
    <row r="836" spans="10:10" customFormat="1" ht="14.45" customHeight="1">
      <c r="J836" s="9"/>
    </row>
    <row r="837" spans="10:10" customFormat="1" ht="14.45" customHeight="1">
      <c r="J837" s="9"/>
    </row>
    <row r="838" spans="10:10" customFormat="1" ht="14.45" customHeight="1">
      <c r="J838" s="9"/>
    </row>
    <row r="839" spans="10:10" customFormat="1" ht="14.45" customHeight="1">
      <c r="J839" s="9"/>
    </row>
    <row r="840" spans="10:10" customFormat="1" ht="14.45" customHeight="1">
      <c r="J840" s="9"/>
    </row>
    <row r="841" spans="10:10" customFormat="1" ht="14.45" customHeight="1">
      <c r="J841" s="9"/>
    </row>
    <row r="842" spans="10:10" customFormat="1" ht="14.45" customHeight="1">
      <c r="J842" s="9"/>
    </row>
    <row r="843" spans="10:10" customFormat="1" ht="14.45" customHeight="1">
      <c r="J843" s="9"/>
    </row>
    <row r="844" spans="10:10" customFormat="1" ht="14.45" customHeight="1">
      <c r="J844" s="9"/>
    </row>
    <row r="845" spans="10:10" customFormat="1" ht="14.45" customHeight="1">
      <c r="J845" s="9"/>
    </row>
    <row r="846" spans="10:10" customFormat="1" ht="14.45" customHeight="1">
      <c r="J846" s="9"/>
    </row>
    <row r="847" spans="10:10" customFormat="1" ht="14.45" customHeight="1">
      <c r="J847" s="9"/>
    </row>
    <row r="848" spans="10:10" customFormat="1" ht="14.45" customHeight="1">
      <c r="J848" s="9"/>
    </row>
    <row r="849" spans="10:10" customFormat="1" ht="14.45" customHeight="1">
      <c r="J849" s="9"/>
    </row>
    <row r="850" spans="10:10" customFormat="1" ht="14.45" customHeight="1">
      <c r="J850" s="9"/>
    </row>
    <row r="851" spans="10:10" customFormat="1" ht="14.45" customHeight="1">
      <c r="J851" s="9"/>
    </row>
    <row r="852" spans="10:10" customFormat="1" ht="14.45" customHeight="1">
      <c r="J852" s="9"/>
    </row>
    <row r="853" spans="10:10" customFormat="1" ht="14.45" customHeight="1">
      <c r="J853" s="9"/>
    </row>
    <row r="854" spans="10:10" customFormat="1" ht="14.45" customHeight="1">
      <c r="J854" s="9"/>
    </row>
    <row r="855" spans="10:10" customFormat="1" ht="14.45" customHeight="1">
      <c r="J855" s="9"/>
    </row>
    <row r="856" spans="10:10" customFormat="1" ht="14.45" customHeight="1">
      <c r="J856" s="9"/>
    </row>
    <row r="857" spans="10:10" customFormat="1" ht="14.45" customHeight="1">
      <c r="J857" s="9"/>
    </row>
    <row r="858" spans="10:10" customFormat="1" ht="14.45" customHeight="1">
      <c r="J858" s="9"/>
    </row>
    <row r="859" spans="10:10" customFormat="1" ht="14.45" customHeight="1">
      <c r="J859" s="9"/>
    </row>
    <row r="860" spans="10:10" customFormat="1" ht="14.45" customHeight="1">
      <c r="J860" s="9"/>
    </row>
    <row r="861" spans="10:10" customFormat="1" ht="14.45" customHeight="1">
      <c r="J861" s="9"/>
    </row>
    <row r="862" spans="10:10" customFormat="1" ht="14.45" customHeight="1">
      <c r="J862" s="9"/>
    </row>
    <row r="863" spans="10:10" customFormat="1" ht="14.45" customHeight="1">
      <c r="J863" s="9"/>
    </row>
    <row r="864" spans="10:10" customFormat="1" ht="14.45" customHeight="1">
      <c r="J864" s="9"/>
    </row>
    <row r="865" spans="10:10" customFormat="1" ht="14.45" customHeight="1">
      <c r="J865" s="9"/>
    </row>
    <row r="866" spans="10:10" customFormat="1" ht="14.45" customHeight="1">
      <c r="J866" s="9"/>
    </row>
    <row r="867" spans="10:10" customFormat="1" ht="14.45" customHeight="1">
      <c r="J867" s="9"/>
    </row>
    <row r="868" spans="10:10" customFormat="1" ht="14.45" customHeight="1">
      <c r="J868" s="9"/>
    </row>
    <row r="869" spans="10:10" customFormat="1" ht="14.45" customHeight="1">
      <c r="J869" s="9"/>
    </row>
    <row r="870" spans="10:10" customFormat="1" ht="14.45" customHeight="1">
      <c r="J870" s="9"/>
    </row>
    <row r="871" spans="10:10" customFormat="1" ht="14.45" customHeight="1">
      <c r="J871" s="9"/>
    </row>
    <row r="872" spans="10:10" customFormat="1" ht="14.45" customHeight="1">
      <c r="J872" s="9"/>
    </row>
    <row r="873" spans="10:10" customFormat="1" ht="14.45" customHeight="1">
      <c r="J873" s="9"/>
    </row>
    <row r="874" spans="10:10" customFormat="1" ht="14.45" customHeight="1">
      <c r="J874" s="9"/>
    </row>
    <row r="875" spans="10:10" customFormat="1" ht="14.45" customHeight="1">
      <c r="J875" s="9"/>
    </row>
    <row r="876" spans="10:10" customFormat="1" ht="14.45" customHeight="1">
      <c r="J876" s="9"/>
    </row>
    <row r="877" spans="10:10" customFormat="1" ht="14.45" customHeight="1">
      <c r="J877" s="9"/>
    </row>
    <row r="878" spans="10:10" customFormat="1" ht="14.45" customHeight="1">
      <c r="J878" s="9"/>
    </row>
    <row r="879" spans="10:10" customFormat="1" ht="14.45" customHeight="1">
      <c r="J879" s="9"/>
    </row>
    <row r="880" spans="10:10" customFormat="1" ht="14.45" customHeight="1">
      <c r="J880" s="9"/>
    </row>
    <row r="881" spans="10:10" customFormat="1" ht="14.45" customHeight="1">
      <c r="J881" s="9"/>
    </row>
    <row r="882" spans="10:10" customFormat="1" ht="14.45" customHeight="1">
      <c r="J882" s="9"/>
    </row>
    <row r="883" spans="10:10" customFormat="1" ht="14.45" customHeight="1">
      <c r="J883" s="9"/>
    </row>
    <row r="884" spans="10:10" customFormat="1" ht="14.45" customHeight="1">
      <c r="J884" s="9"/>
    </row>
    <row r="885" spans="10:10" customFormat="1" ht="14.45" customHeight="1">
      <c r="J885" s="9"/>
    </row>
    <row r="886" spans="10:10" customFormat="1" ht="14.45" customHeight="1">
      <c r="J886" s="9"/>
    </row>
    <row r="887" spans="10:10" customFormat="1" ht="14.45" customHeight="1">
      <c r="J887" s="9"/>
    </row>
    <row r="888" spans="10:10" customFormat="1" ht="14.45" customHeight="1">
      <c r="J888" s="9"/>
    </row>
    <row r="889" spans="10:10" customFormat="1" ht="14.45" customHeight="1">
      <c r="J889" s="9"/>
    </row>
    <row r="890" spans="10:10" customFormat="1" ht="14.45" customHeight="1">
      <c r="J890" s="9"/>
    </row>
    <row r="891" spans="10:10" customFormat="1" ht="14.45" customHeight="1">
      <c r="J891" s="9"/>
    </row>
    <row r="892" spans="10:10" customFormat="1" ht="14.45" customHeight="1">
      <c r="J892" s="9"/>
    </row>
    <row r="893" spans="10:10" customFormat="1" ht="14.45" customHeight="1">
      <c r="J893" s="9"/>
    </row>
    <row r="894" spans="10:10" customFormat="1" ht="14.45" customHeight="1">
      <c r="J894" s="9"/>
    </row>
    <row r="895" spans="10:10" customFormat="1" ht="14.45" customHeight="1">
      <c r="J895" s="9"/>
    </row>
    <row r="896" spans="10:10" customFormat="1" ht="14.45" customHeight="1">
      <c r="J896" s="9"/>
    </row>
    <row r="897" spans="10:10" customFormat="1" ht="14.45" customHeight="1">
      <c r="J897" s="9"/>
    </row>
    <row r="898" spans="10:10" customFormat="1" ht="14.45" customHeight="1">
      <c r="J898" s="9"/>
    </row>
    <row r="899" spans="10:10" customFormat="1" ht="14.45" customHeight="1">
      <c r="J899" s="9"/>
    </row>
    <row r="900" spans="10:10" customFormat="1" ht="14.45" customHeight="1">
      <c r="J900" s="9"/>
    </row>
    <row r="901" spans="10:10" customFormat="1" ht="14.45" customHeight="1">
      <c r="J901" s="9"/>
    </row>
    <row r="902" spans="10:10" customFormat="1" ht="14.45" customHeight="1">
      <c r="J902" s="9"/>
    </row>
    <row r="903" spans="10:10" customFormat="1" ht="14.45" customHeight="1">
      <c r="J903" s="9"/>
    </row>
    <row r="904" spans="10:10" customFormat="1" ht="14.45" customHeight="1">
      <c r="J904" s="9"/>
    </row>
    <row r="905" spans="10:10" customFormat="1" ht="14.45" customHeight="1">
      <c r="J905" s="9"/>
    </row>
    <row r="906" spans="10:10" customFormat="1" ht="14.45" customHeight="1">
      <c r="J906" s="9"/>
    </row>
    <row r="907" spans="10:10" customFormat="1" ht="14.45" customHeight="1">
      <c r="J907" s="9"/>
    </row>
    <row r="908" spans="10:10" customFormat="1" ht="14.45" customHeight="1">
      <c r="J908" s="9"/>
    </row>
    <row r="909" spans="10:10" customFormat="1" ht="14.45" customHeight="1">
      <c r="J909" s="9"/>
    </row>
    <row r="910" spans="10:10" customFormat="1" ht="14.45" customHeight="1">
      <c r="J910" s="9"/>
    </row>
    <row r="911" spans="10:10" customFormat="1" ht="14.45" customHeight="1">
      <c r="J911" s="9"/>
    </row>
    <row r="912" spans="10:10" customFormat="1" ht="14.45" customHeight="1">
      <c r="J912" s="9"/>
    </row>
    <row r="913" spans="10:10" customFormat="1" ht="14.45" customHeight="1">
      <c r="J913" s="9"/>
    </row>
    <row r="914" spans="10:10" customFormat="1" ht="14.45" customHeight="1">
      <c r="J914" s="9"/>
    </row>
    <row r="915" spans="10:10" customFormat="1" ht="14.45" customHeight="1">
      <c r="J915" s="9"/>
    </row>
    <row r="916" spans="10:10" customFormat="1" ht="14.45" customHeight="1">
      <c r="J916" s="9"/>
    </row>
    <row r="917" spans="10:10" customFormat="1" ht="14.45" customHeight="1">
      <c r="J917" s="9"/>
    </row>
    <row r="918" spans="10:10" customFormat="1" ht="14.45" customHeight="1">
      <c r="J918" s="9"/>
    </row>
    <row r="919" spans="10:10" customFormat="1" ht="14.45" customHeight="1">
      <c r="J919" s="9"/>
    </row>
    <row r="920" spans="10:10" customFormat="1" ht="14.45" customHeight="1">
      <c r="J920" s="9"/>
    </row>
    <row r="921" spans="10:10" customFormat="1" ht="14.45" customHeight="1">
      <c r="J921" s="9"/>
    </row>
    <row r="922" spans="10:10" customFormat="1" ht="14.45" customHeight="1">
      <c r="J922" s="9"/>
    </row>
    <row r="923" spans="10:10" customFormat="1" ht="14.45" customHeight="1">
      <c r="J923" s="9"/>
    </row>
    <row r="924" spans="10:10" customFormat="1" ht="14.45" customHeight="1">
      <c r="J924" s="9"/>
    </row>
    <row r="925" spans="10:10" customFormat="1" ht="14.45" customHeight="1">
      <c r="J925" s="9"/>
    </row>
    <row r="926" spans="10:10" customFormat="1" ht="14.45" customHeight="1">
      <c r="J926" s="9"/>
    </row>
    <row r="927" spans="10:10" customFormat="1" ht="14.45" customHeight="1">
      <c r="J927" s="9"/>
    </row>
    <row r="928" spans="10:10" customFormat="1" ht="14.45" customHeight="1">
      <c r="J928" s="9"/>
    </row>
    <row r="929" spans="10:10" customFormat="1" ht="14.45" customHeight="1">
      <c r="J929" s="9"/>
    </row>
    <row r="930" spans="10:10" customFormat="1" ht="14.45" customHeight="1">
      <c r="J930" s="9"/>
    </row>
    <row r="931" spans="10:10" customFormat="1" ht="14.45" customHeight="1">
      <c r="J931" s="9"/>
    </row>
    <row r="932" spans="10:10" customFormat="1" ht="14.45" customHeight="1">
      <c r="J932" s="9"/>
    </row>
    <row r="933" spans="10:10" customFormat="1" ht="14.45" customHeight="1">
      <c r="J933" s="9"/>
    </row>
    <row r="934" spans="10:10" customFormat="1" ht="14.45" customHeight="1">
      <c r="J934" s="9"/>
    </row>
    <row r="935" spans="10:10" customFormat="1" ht="14.45" customHeight="1">
      <c r="J935" s="9"/>
    </row>
    <row r="936" spans="10:10" customFormat="1" ht="14.45" customHeight="1">
      <c r="J936" s="9"/>
    </row>
    <row r="937" spans="10:10" customFormat="1" ht="14.45" customHeight="1">
      <c r="J937" s="9"/>
    </row>
    <row r="938" spans="10:10" customFormat="1" ht="14.45" customHeight="1">
      <c r="J938" s="9"/>
    </row>
    <row r="939" spans="10:10" customFormat="1" ht="14.45" customHeight="1">
      <c r="J939" s="9"/>
    </row>
    <row r="940" spans="10:10" customFormat="1" ht="14.45" customHeight="1">
      <c r="J940" s="9"/>
    </row>
    <row r="941" spans="10:10" customFormat="1" ht="14.45" customHeight="1">
      <c r="J941" s="9"/>
    </row>
    <row r="942" spans="10:10" customFormat="1" ht="14.45" customHeight="1">
      <c r="J942" s="9"/>
    </row>
    <row r="943" spans="10:10" customFormat="1" ht="14.45" customHeight="1">
      <c r="J943" s="9"/>
    </row>
    <row r="944" spans="10:10" customFormat="1" ht="14.45" customHeight="1">
      <c r="J944" s="9"/>
    </row>
    <row r="945" spans="10:10" customFormat="1" ht="14.45" customHeight="1">
      <c r="J945" s="9"/>
    </row>
    <row r="946" spans="10:10" customFormat="1" ht="14.45" customHeight="1">
      <c r="J946" s="9"/>
    </row>
    <row r="947" spans="10:10" customFormat="1" ht="14.45" customHeight="1">
      <c r="J947" s="9"/>
    </row>
    <row r="948" spans="10:10" customFormat="1" ht="14.45" customHeight="1">
      <c r="J948" s="9"/>
    </row>
    <row r="949" spans="10:10" customFormat="1" ht="14.45" customHeight="1">
      <c r="J949" s="9"/>
    </row>
    <row r="950" spans="10:10" customFormat="1" ht="14.45" customHeight="1">
      <c r="J950" s="9"/>
    </row>
    <row r="951" spans="10:10" customFormat="1" ht="14.45" customHeight="1">
      <c r="J951" s="9"/>
    </row>
    <row r="952" spans="10:10" customFormat="1" ht="14.45" customHeight="1">
      <c r="J952" s="9"/>
    </row>
    <row r="953" spans="10:10" customFormat="1" ht="14.45" customHeight="1">
      <c r="J953" s="9"/>
    </row>
    <row r="954" spans="10:10" customFormat="1" ht="14.45" customHeight="1">
      <c r="J954" s="9"/>
    </row>
    <row r="955" spans="10:10" customFormat="1" ht="14.45" customHeight="1">
      <c r="J955" s="9"/>
    </row>
    <row r="956" spans="10:10" customFormat="1" ht="14.45" customHeight="1">
      <c r="J956" s="9"/>
    </row>
    <row r="957" spans="10:10" customFormat="1" ht="14.45" customHeight="1">
      <c r="J957" s="9"/>
    </row>
    <row r="958" spans="10:10" customFormat="1" ht="14.45" customHeight="1">
      <c r="J958" s="9"/>
    </row>
    <row r="959" spans="10:10" customFormat="1" ht="14.45" customHeight="1">
      <c r="J959" s="9"/>
    </row>
    <row r="960" spans="10:10" customFormat="1" ht="14.45" customHeight="1">
      <c r="J960" s="9"/>
    </row>
    <row r="961" spans="10:10" customFormat="1" ht="14.45" customHeight="1">
      <c r="J961" s="9"/>
    </row>
    <row r="962" spans="10:10" customFormat="1" ht="14.45" customHeight="1">
      <c r="J962" s="9"/>
    </row>
    <row r="963" spans="10:10" customFormat="1" ht="14.45" customHeight="1">
      <c r="J963" s="9"/>
    </row>
    <row r="964" spans="10:10" customFormat="1" ht="14.45" customHeight="1">
      <c r="J964" s="9"/>
    </row>
    <row r="965" spans="10:10" customFormat="1" ht="14.45" customHeight="1">
      <c r="J965" s="9"/>
    </row>
    <row r="966" spans="10:10" customFormat="1" ht="14.45" customHeight="1">
      <c r="J966" s="9"/>
    </row>
    <row r="967" spans="10:10" customFormat="1" ht="14.45" customHeight="1">
      <c r="J967" s="9"/>
    </row>
    <row r="968" spans="10:10" customFormat="1" ht="14.45" customHeight="1">
      <c r="J968" s="9"/>
    </row>
    <row r="969" spans="10:10" customFormat="1" ht="14.45" customHeight="1">
      <c r="J969" s="9"/>
    </row>
    <row r="970" spans="10:10" customFormat="1" ht="14.45" customHeight="1">
      <c r="J970" s="9"/>
    </row>
    <row r="971" spans="10:10" customFormat="1" ht="14.45" customHeight="1">
      <c r="J971" s="9"/>
    </row>
    <row r="972" spans="10:10" customFormat="1" ht="14.45" customHeight="1">
      <c r="J972" s="9"/>
    </row>
    <row r="973" spans="10:10" customFormat="1" ht="14.45" customHeight="1">
      <c r="J973" s="9"/>
    </row>
    <row r="974" spans="10:10" customFormat="1" ht="14.45" customHeight="1">
      <c r="J974" s="9"/>
    </row>
    <row r="975" spans="10:10" customFormat="1" ht="14.45" customHeight="1">
      <c r="J975" s="9"/>
    </row>
    <row r="976" spans="10:10" customFormat="1" ht="14.45" customHeight="1">
      <c r="J976" s="9"/>
    </row>
    <row r="977" spans="10:10" customFormat="1" ht="14.45" customHeight="1">
      <c r="J977" s="9"/>
    </row>
    <row r="978" spans="10:10" customFormat="1" ht="14.45" customHeight="1">
      <c r="J978" s="9"/>
    </row>
    <row r="979" spans="10:10" customFormat="1" ht="14.45" customHeight="1">
      <c r="J979" s="9"/>
    </row>
    <row r="980" spans="10:10" customFormat="1" ht="14.45" customHeight="1">
      <c r="J980" s="9"/>
    </row>
    <row r="981" spans="10:10" customFormat="1" ht="14.45" customHeight="1">
      <c r="J981" s="9"/>
    </row>
    <row r="982" spans="10:10" customFormat="1" ht="14.45" customHeight="1">
      <c r="J982" s="9"/>
    </row>
    <row r="983" spans="10:10" customFormat="1" ht="14.45" customHeight="1">
      <c r="J983" s="9"/>
    </row>
    <row r="984" spans="10:10" customFormat="1" ht="14.45" customHeight="1">
      <c r="J984" s="9"/>
    </row>
    <row r="985" spans="10:10" customFormat="1" ht="14.45" customHeight="1">
      <c r="J985" s="9"/>
    </row>
    <row r="986" spans="10:10" customFormat="1" ht="14.45" customHeight="1">
      <c r="J986" s="9"/>
    </row>
    <row r="987" spans="10:10" customFormat="1" ht="14.45" customHeight="1">
      <c r="J987" s="9"/>
    </row>
    <row r="988" spans="10:10" customFormat="1" ht="14.45" customHeight="1">
      <c r="J988" s="9"/>
    </row>
    <row r="989" spans="10:10" customFormat="1" ht="14.45" customHeight="1">
      <c r="J989" s="9"/>
    </row>
    <row r="990" spans="10:10" customFormat="1" ht="14.45" customHeight="1">
      <c r="J990" s="9"/>
    </row>
    <row r="991" spans="10:10" customFormat="1" ht="14.45" customHeight="1">
      <c r="J991" s="9"/>
    </row>
    <row r="992" spans="10:10" customFormat="1" ht="14.45" customHeight="1">
      <c r="J992" s="9"/>
    </row>
    <row r="993" spans="10:10" customFormat="1" ht="14.45" customHeight="1">
      <c r="J993" s="9"/>
    </row>
    <row r="994" spans="10:10" customFormat="1" ht="14.45" customHeight="1">
      <c r="J994" s="9"/>
    </row>
    <row r="995" spans="10:10" customFormat="1" ht="14.45" customHeight="1">
      <c r="J995" s="9"/>
    </row>
    <row r="996" spans="10:10" customFormat="1" ht="14.45" customHeight="1">
      <c r="J996" s="9"/>
    </row>
    <row r="997" spans="10:10" customFormat="1" ht="14.45" customHeight="1">
      <c r="J997" s="9"/>
    </row>
    <row r="998" spans="10:10" customFormat="1" ht="14.45" customHeight="1">
      <c r="J998" s="9"/>
    </row>
    <row r="999" spans="10:10" customFormat="1" ht="14.45" customHeight="1">
      <c r="J999" s="9"/>
    </row>
    <row r="1000" spans="10:10" customFormat="1" ht="14.45" customHeight="1">
      <c r="J1000" s="9"/>
    </row>
    <row r="1001" spans="10:10" customFormat="1" ht="14.45" customHeight="1">
      <c r="J1001" s="9"/>
    </row>
    <row r="1002" spans="10:10" customFormat="1" ht="14.45" customHeight="1">
      <c r="J1002" s="9"/>
    </row>
    <row r="1003" spans="10:10" customFormat="1" ht="14.45" customHeight="1">
      <c r="J1003" s="9"/>
    </row>
    <row r="1004" spans="10:10" customFormat="1" ht="14.45" customHeight="1">
      <c r="J1004" s="9"/>
    </row>
    <row r="1005" spans="10:10" customFormat="1" ht="14.45" customHeight="1">
      <c r="J1005" s="9"/>
    </row>
    <row r="1006" spans="10:10" customFormat="1" ht="14.45" customHeight="1">
      <c r="J1006" s="9"/>
    </row>
    <row r="1007" spans="10:10" customFormat="1" ht="14.45" customHeight="1">
      <c r="J1007" s="9"/>
    </row>
    <row r="1008" spans="10:10" customFormat="1" ht="14.45" customHeight="1">
      <c r="J1008" s="9"/>
    </row>
    <row r="1009" spans="10:10" customFormat="1" ht="14.45" customHeight="1">
      <c r="J1009" s="9"/>
    </row>
    <row r="1010" spans="10:10" customFormat="1" ht="14.45" customHeight="1">
      <c r="J1010" s="9"/>
    </row>
    <row r="1011" spans="10:10" customFormat="1" ht="14.45" customHeight="1">
      <c r="J1011" s="9"/>
    </row>
    <row r="1012" spans="10:10" customFormat="1" ht="14.45" customHeight="1">
      <c r="J1012" s="9"/>
    </row>
    <row r="1013" spans="10:10" customFormat="1" ht="14.45" customHeight="1">
      <c r="J1013" s="9"/>
    </row>
    <row r="1014" spans="10:10" customFormat="1" ht="14.45" customHeight="1">
      <c r="J1014" s="9"/>
    </row>
    <row r="1015" spans="10:10" customFormat="1" ht="14.45" customHeight="1">
      <c r="J1015" s="9"/>
    </row>
    <row r="1016" spans="10:10" customFormat="1" ht="14.45" customHeight="1">
      <c r="J1016" s="9"/>
    </row>
    <row r="1017" spans="10:10" customFormat="1" ht="14.45" customHeight="1">
      <c r="J1017" s="9"/>
    </row>
    <row r="1018" spans="10:10" customFormat="1" ht="14.45" customHeight="1">
      <c r="J1018" s="9"/>
    </row>
    <row r="1019" spans="10:10" customFormat="1" ht="14.45" customHeight="1">
      <c r="J1019" s="9"/>
    </row>
    <row r="1020" spans="10:10" customFormat="1" ht="14.45" customHeight="1">
      <c r="J1020" s="9"/>
    </row>
    <row r="1021" spans="10:10" customFormat="1" ht="14.45" customHeight="1">
      <c r="J1021" s="9"/>
    </row>
    <row r="1022" spans="10:10" customFormat="1" ht="14.45" customHeight="1">
      <c r="J1022" s="9"/>
    </row>
    <row r="1023" spans="10:10" customFormat="1" ht="14.45" customHeight="1">
      <c r="J1023" s="9"/>
    </row>
    <row r="1024" spans="10:10" customFormat="1" ht="14.45" customHeight="1">
      <c r="J1024" s="9"/>
    </row>
    <row r="1025" spans="10:10" customFormat="1" ht="14.45" customHeight="1">
      <c r="J1025" s="9"/>
    </row>
    <row r="1026" spans="10:10" customFormat="1" ht="14.45" customHeight="1">
      <c r="J1026" s="9"/>
    </row>
    <row r="1027" spans="10:10" customFormat="1" ht="14.45" customHeight="1">
      <c r="J1027" s="9"/>
    </row>
    <row r="1028" spans="10:10" customFormat="1" ht="14.45" customHeight="1">
      <c r="J1028" s="9"/>
    </row>
    <row r="1029" spans="10:10" customFormat="1" ht="14.45" customHeight="1">
      <c r="J1029" s="9"/>
    </row>
    <row r="1030" spans="10:10" customFormat="1" ht="14.45" customHeight="1">
      <c r="J1030" s="9"/>
    </row>
    <row r="1031" spans="10:10" customFormat="1" ht="14.45" customHeight="1">
      <c r="J1031" s="9"/>
    </row>
    <row r="1032" spans="10:10" customFormat="1" ht="14.45" customHeight="1">
      <c r="J1032" s="9"/>
    </row>
    <row r="1033" spans="10:10" customFormat="1" ht="14.45" customHeight="1">
      <c r="J1033" s="9"/>
    </row>
    <row r="1034" spans="10:10" customFormat="1" ht="14.45" customHeight="1">
      <c r="J1034" s="9"/>
    </row>
    <row r="1035" spans="10:10" customFormat="1" ht="14.45" customHeight="1">
      <c r="J1035" s="9"/>
    </row>
    <row r="1036" spans="10:10" customFormat="1" ht="14.45" customHeight="1">
      <c r="J1036" s="9"/>
    </row>
    <row r="1037" spans="10:10" customFormat="1" ht="14.45" customHeight="1">
      <c r="J1037" s="9"/>
    </row>
    <row r="1038" spans="10:10" customFormat="1" ht="14.45" customHeight="1">
      <c r="J1038" s="9"/>
    </row>
    <row r="1039" spans="10:10" customFormat="1" ht="14.45" customHeight="1">
      <c r="J1039" s="9"/>
    </row>
    <row r="1040" spans="10:10" customFormat="1" ht="14.45" customHeight="1">
      <c r="J1040" s="9"/>
    </row>
    <row r="1041" spans="10:10" customFormat="1" ht="14.45" customHeight="1">
      <c r="J1041" s="9"/>
    </row>
    <row r="1042" spans="10:10" customFormat="1" ht="14.45" customHeight="1">
      <c r="J1042" s="9"/>
    </row>
    <row r="1043" spans="10:10" customFormat="1" ht="14.45" customHeight="1">
      <c r="J1043" s="9"/>
    </row>
    <row r="1044" spans="10:10" customFormat="1" ht="14.45" customHeight="1">
      <c r="J1044" s="9"/>
    </row>
    <row r="1045" spans="10:10" customFormat="1" ht="14.45" customHeight="1">
      <c r="J1045" s="9"/>
    </row>
    <row r="1046" spans="10:10" customFormat="1" ht="14.45" customHeight="1">
      <c r="J1046" s="9"/>
    </row>
    <row r="1047" spans="10:10" customFormat="1" ht="14.45" customHeight="1">
      <c r="J1047" s="9"/>
    </row>
    <row r="1048" spans="10:10" customFormat="1" ht="14.45" customHeight="1">
      <c r="J1048" s="9"/>
    </row>
    <row r="1049" spans="10:10" customFormat="1" ht="14.45" customHeight="1">
      <c r="J1049" s="9"/>
    </row>
    <row r="1050" spans="10:10" customFormat="1" ht="14.45" customHeight="1">
      <c r="J1050" s="9"/>
    </row>
    <row r="1051" spans="10:10" customFormat="1" ht="14.45" customHeight="1">
      <c r="J1051" s="9"/>
    </row>
    <row r="1052" spans="10:10" customFormat="1" ht="14.45" customHeight="1">
      <c r="J1052" s="9"/>
    </row>
    <row r="1053" spans="10:10" customFormat="1" ht="14.45" customHeight="1">
      <c r="J1053" s="9"/>
    </row>
    <row r="1054" spans="10:10" customFormat="1" ht="14.45" customHeight="1">
      <c r="J1054" s="9"/>
    </row>
    <row r="1055" spans="10:10" customFormat="1" ht="14.45" customHeight="1">
      <c r="J1055" s="9"/>
    </row>
    <row r="1056" spans="10:10" customFormat="1" ht="14.45" customHeight="1">
      <c r="J1056" s="9"/>
    </row>
    <row r="1057" spans="10:10" customFormat="1" ht="14.45" customHeight="1">
      <c r="J1057" s="9"/>
    </row>
    <row r="1058" spans="10:10" customFormat="1" ht="14.45" customHeight="1">
      <c r="J1058" s="9"/>
    </row>
    <row r="1059" spans="10:10" customFormat="1" ht="14.45" customHeight="1">
      <c r="J1059" s="9"/>
    </row>
    <row r="1060" spans="10:10" customFormat="1" ht="14.45" customHeight="1">
      <c r="J1060" s="9"/>
    </row>
    <row r="1061" spans="10:10" customFormat="1" ht="14.45" customHeight="1">
      <c r="J1061" s="9"/>
    </row>
    <row r="1062" spans="10:10" customFormat="1" ht="14.45" customHeight="1">
      <c r="J1062" s="9"/>
    </row>
    <row r="1063" spans="10:10" customFormat="1" ht="14.45" customHeight="1">
      <c r="J1063" s="9"/>
    </row>
    <row r="1064" spans="10:10" customFormat="1" ht="14.45" customHeight="1">
      <c r="J1064" s="9"/>
    </row>
    <row r="1065" spans="10:10" customFormat="1" ht="14.45" customHeight="1">
      <c r="J1065" s="9"/>
    </row>
    <row r="1066" spans="10:10" customFormat="1" ht="14.45" customHeight="1">
      <c r="J1066" s="9"/>
    </row>
    <row r="1067" spans="10:10" customFormat="1" ht="14.45" customHeight="1">
      <c r="J1067" s="9"/>
    </row>
    <row r="1068" spans="10:10" customFormat="1" ht="14.45" customHeight="1">
      <c r="J1068" s="9"/>
    </row>
    <row r="1069" spans="10:10" customFormat="1" ht="14.45" customHeight="1">
      <c r="J1069" s="9"/>
    </row>
    <row r="1070" spans="10:10" customFormat="1" ht="14.45" customHeight="1">
      <c r="J1070" s="9"/>
    </row>
    <row r="1071" spans="10:10" customFormat="1" ht="14.45" customHeight="1">
      <c r="J1071" s="9"/>
    </row>
    <row r="1072" spans="10:10" customFormat="1" ht="14.45" customHeight="1">
      <c r="J1072" s="9"/>
    </row>
    <row r="1073" spans="10:10" customFormat="1" ht="14.45" customHeight="1">
      <c r="J1073" s="9"/>
    </row>
    <row r="1074" spans="10:10" customFormat="1" ht="14.45" customHeight="1">
      <c r="J1074" s="9"/>
    </row>
    <row r="1075" spans="10:10" customFormat="1" ht="14.45" customHeight="1">
      <c r="J1075" s="9"/>
    </row>
    <row r="1076" spans="10:10" customFormat="1" ht="14.45" customHeight="1">
      <c r="J1076" s="9"/>
    </row>
    <row r="1077" spans="10:10" customFormat="1" ht="14.45" customHeight="1">
      <c r="J1077" s="9"/>
    </row>
    <row r="1078" spans="10:10" customFormat="1" ht="14.45" customHeight="1">
      <c r="J1078" s="9"/>
    </row>
    <row r="1079" spans="10:10" customFormat="1" ht="14.45" customHeight="1">
      <c r="J1079" s="9"/>
    </row>
    <row r="1080" spans="10:10" customFormat="1" ht="14.45" customHeight="1">
      <c r="J1080" s="9"/>
    </row>
    <row r="1081" spans="10:10" customFormat="1" ht="14.45" customHeight="1">
      <c r="J1081" s="9"/>
    </row>
    <row r="1082" spans="10:10" customFormat="1" ht="14.45" customHeight="1">
      <c r="J1082" s="9"/>
    </row>
    <row r="1083" spans="10:10" customFormat="1" ht="14.45" customHeight="1">
      <c r="J1083" s="9"/>
    </row>
    <row r="1084" spans="10:10" customFormat="1" ht="14.45" customHeight="1">
      <c r="J1084" s="9"/>
    </row>
    <row r="1085" spans="10:10" customFormat="1" ht="14.45" customHeight="1">
      <c r="J1085" s="9"/>
    </row>
    <row r="1086" spans="10:10" customFormat="1" ht="14.45" customHeight="1">
      <c r="J1086" s="9"/>
    </row>
    <row r="1087" spans="10:10" customFormat="1" ht="14.45" customHeight="1">
      <c r="J1087" s="9"/>
    </row>
    <row r="1088" spans="10:10" customFormat="1" ht="14.45" customHeight="1">
      <c r="J1088" s="9"/>
    </row>
    <row r="1089" spans="10:10" customFormat="1" ht="14.45" customHeight="1">
      <c r="J1089" s="9"/>
    </row>
    <row r="1090" spans="10:10" customFormat="1" ht="14.45" customHeight="1">
      <c r="J1090" s="9"/>
    </row>
    <row r="1091" spans="10:10" customFormat="1" ht="14.45" customHeight="1">
      <c r="J1091" s="9"/>
    </row>
    <row r="1092" spans="10:10" customFormat="1" ht="14.45" customHeight="1">
      <c r="J1092" s="9"/>
    </row>
    <row r="1093" spans="10:10" customFormat="1" ht="14.45" customHeight="1">
      <c r="J1093" s="9"/>
    </row>
    <row r="1094" spans="10:10" customFormat="1" ht="14.45" customHeight="1">
      <c r="J1094" s="9"/>
    </row>
    <row r="1095" spans="10:10" customFormat="1" ht="14.45" customHeight="1">
      <c r="J1095" s="9"/>
    </row>
    <row r="1096" spans="10:10" customFormat="1" ht="14.45" customHeight="1">
      <c r="J1096" s="9"/>
    </row>
    <row r="1097" spans="10:10" customFormat="1" ht="14.45" customHeight="1">
      <c r="J1097" s="9"/>
    </row>
    <row r="1098" spans="10:10" customFormat="1" ht="14.45" customHeight="1">
      <c r="J1098" s="9"/>
    </row>
    <row r="1099" spans="10:10" customFormat="1" ht="14.45" customHeight="1">
      <c r="J1099" s="9"/>
    </row>
    <row r="1100" spans="10:10" customFormat="1" ht="14.45" customHeight="1">
      <c r="J1100" s="9"/>
    </row>
    <row r="1101" spans="10:10" customFormat="1" ht="14.45" customHeight="1">
      <c r="J1101" s="9"/>
    </row>
    <row r="1102" spans="10:10" customFormat="1" ht="14.45" customHeight="1">
      <c r="J1102" s="9"/>
    </row>
    <row r="1103" spans="10:10" customFormat="1" ht="14.45" customHeight="1">
      <c r="J1103" s="9"/>
    </row>
    <row r="1104" spans="10:10" customFormat="1" ht="14.45" customHeight="1">
      <c r="J1104" s="9"/>
    </row>
    <row r="1105" spans="10:10" customFormat="1" ht="14.45" customHeight="1">
      <c r="J1105" s="9"/>
    </row>
    <row r="1106" spans="10:10" customFormat="1" ht="14.45" customHeight="1">
      <c r="J1106" s="9"/>
    </row>
    <row r="1107" spans="10:10" customFormat="1" ht="14.45" customHeight="1">
      <c r="J1107" s="9"/>
    </row>
    <row r="1108" spans="10:10" customFormat="1" ht="14.45" customHeight="1">
      <c r="J1108" s="9"/>
    </row>
    <row r="1109" spans="10:10" customFormat="1" ht="14.45" customHeight="1">
      <c r="J1109" s="9"/>
    </row>
    <row r="1110" spans="10:10" customFormat="1" ht="14.45" customHeight="1">
      <c r="J1110" s="9"/>
    </row>
    <row r="1111" spans="10:10" customFormat="1" ht="14.45" customHeight="1">
      <c r="J1111" s="9"/>
    </row>
    <row r="1112" spans="10:10" customFormat="1" ht="14.45" customHeight="1">
      <c r="J1112" s="9"/>
    </row>
    <row r="1113" spans="10:10" customFormat="1" ht="14.45" customHeight="1">
      <c r="J1113" s="9"/>
    </row>
    <row r="1114" spans="10:10" customFormat="1" ht="14.45" customHeight="1">
      <c r="J1114" s="9"/>
    </row>
    <row r="1115" spans="10:10" customFormat="1" ht="14.45" customHeight="1">
      <c r="J1115" s="9"/>
    </row>
    <row r="1116" spans="10:10" customFormat="1" ht="14.45" customHeight="1">
      <c r="J1116" s="9"/>
    </row>
    <row r="1117" spans="10:10" customFormat="1" ht="14.45" customHeight="1">
      <c r="J1117" s="9"/>
    </row>
    <row r="1118" spans="10:10" customFormat="1" ht="14.45" customHeight="1">
      <c r="J1118" s="9"/>
    </row>
    <row r="1119" spans="10:10" customFormat="1" ht="14.45" customHeight="1">
      <c r="J1119" s="9"/>
    </row>
    <row r="1120" spans="10:10" customFormat="1" ht="14.45" customHeight="1">
      <c r="J1120" s="9"/>
    </row>
    <row r="1121" spans="10:10" customFormat="1" ht="14.45" customHeight="1">
      <c r="J1121" s="9"/>
    </row>
    <row r="1122" spans="10:10" customFormat="1" ht="14.45" customHeight="1">
      <c r="J1122" s="9"/>
    </row>
    <row r="1123" spans="10:10" customFormat="1" ht="14.45" customHeight="1">
      <c r="J1123" s="9"/>
    </row>
    <row r="1124" spans="10:10" customFormat="1" ht="14.45" customHeight="1">
      <c r="J1124" s="9"/>
    </row>
    <row r="1125" spans="10:10" customFormat="1" ht="14.45" customHeight="1">
      <c r="J1125" s="9"/>
    </row>
    <row r="1126" spans="10:10" customFormat="1" ht="14.45" customHeight="1">
      <c r="J1126" s="9"/>
    </row>
    <row r="1127" spans="10:10" customFormat="1" ht="14.45" customHeight="1">
      <c r="J1127" s="9"/>
    </row>
    <row r="1128" spans="10:10" customFormat="1" ht="14.45" customHeight="1">
      <c r="J1128" s="9"/>
    </row>
    <row r="1129" spans="10:10" customFormat="1" ht="14.45" customHeight="1">
      <c r="J1129" s="9"/>
    </row>
    <row r="1130" spans="10:10" customFormat="1" ht="14.45" customHeight="1">
      <c r="J1130" s="9"/>
    </row>
    <row r="1131" spans="10:10" customFormat="1" ht="14.45" customHeight="1">
      <c r="J1131" s="9"/>
    </row>
    <row r="1132" spans="10:10" customFormat="1" ht="14.45" customHeight="1">
      <c r="J1132" s="9"/>
    </row>
    <row r="1133" spans="10:10" customFormat="1" ht="14.45" customHeight="1">
      <c r="J1133" s="9"/>
    </row>
    <row r="1134" spans="10:10" customFormat="1" ht="14.45" customHeight="1">
      <c r="J1134" s="9"/>
    </row>
    <row r="1135" spans="10:10" customFormat="1" ht="14.45" customHeight="1">
      <c r="J1135" s="9"/>
    </row>
    <row r="1136" spans="10:10" customFormat="1" ht="14.45" customHeight="1">
      <c r="J1136" s="9"/>
    </row>
    <row r="1137" spans="10:10" customFormat="1" ht="14.45" customHeight="1">
      <c r="J1137" s="9"/>
    </row>
    <row r="1138" spans="10:10" customFormat="1" ht="14.45" customHeight="1">
      <c r="J1138" s="9"/>
    </row>
    <row r="1139" spans="10:10" customFormat="1" ht="14.45" customHeight="1">
      <c r="J1139" s="9"/>
    </row>
    <row r="1140" spans="10:10" customFormat="1" ht="14.45" customHeight="1">
      <c r="J1140" s="9"/>
    </row>
    <row r="1141" spans="10:10" customFormat="1" ht="14.45" customHeight="1">
      <c r="J1141" s="9"/>
    </row>
    <row r="1142" spans="10:10" customFormat="1" ht="14.45" customHeight="1">
      <c r="J1142" s="9"/>
    </row>
    <row r="1143" spans="10:10" customFormat="1" ht="14.45" customHeight="1">
      <c r="J1143" s="9"/>
    </row>
    <row r="1144" spans="10:10" customFormat="1" ht="14.45" customHeight="1">
      <c r="J1144" s="9"/>
    </row>
    <row r="1145" spans="10:10" customFormat="1" ht="14.45" customHeight="1">
      <c r="J1145" s="9"/>
    </row>
    <row r="1146" spans="10:10" customFormat="1" ht="14.45" customHeight="1">
      <c r="J1146" s="9"/>
    </row>
    <row r="1147" spans="10:10" customFormat="1" ht="14.45" customHeight="1">
      <c r="J1147" s="9"/>
    </row>
    <row r="1148" spans="10:10" customFormat="1" ht="14.45" customHeight="1">
      <c r="J1148" s="9"/>
    </row>
    <row r="1149" spans="10:10" customFormat="1" ht="14.45" customHeight="1">
      <c r="J1149" s="9"/>
    </row>
    <row r="1150" spans="10:10" customFormat="1" ht="14.45" customHeight="1">
      <c r="J1150" s="9"/>
    </row>
    <row r="1151" spans="10:10" customFormat="1" ht="14.45" customHeight="1">
      <c r="J1151" s="9"/>
    </row>
    <row r="1152" spans="10:10" customFormat="1" ht="14.45" customHeight="1">
      <c r="J1152" s="9"/>
    </row>
    <row r="1153" spans="10:10" customFormat="1" ht="14.45" customHeight="1">
      <c r="J1153" s="9"/>
    </row>
    <row r="1154" spans="10:10" customFormat="1" ht="14.45" customHeight="1">
      <c r="J1154" s="9"/>
    </row>
    <row r="1155" spans="10:10" customFormat="1" ht="14.45" customHeight="1">
      <c r="J1155" s="9"/>
    </row>
    <row r="1156" spans="10:10" customFormat="1" ht="14.45" customHeight="1">
      <c r="J1156" s="9"/>
    </row>
    <row r="1157" spans="10:10" customFormat="1" ht="14.45" customHeight="1">
      <c r="J1157" s="9"/>
    </row>
    <row r="1158" spans="10:10" customFormat="1" ht="14.45" customHeight="1">
      <c r="J1158" s="9"/>
    </row>
    <row r="1159" spans="10:10" customFormat="1" ht="14.45" customHeight="1">
      <c r="J1159" s="9"/>
    </row>
    <row r="1160" spans="10:10" customFormat="1" ht="14.45" customHeight="1">
      <c r="J1160" s="9"/>
    </row>
    <row r="1161" spans="10:10" customFormat="1" ht="14.45" customHeight="1">
      <c r="J1161" s="9"/>
    </row>
    <row r="1162" spans="10:10" customFormat="1" ht="14.45" customHeight="1">
      <c r="J1162" s="9"/>
    </row>
    <row r="1163" spans="10:10" customFormat="1" ht="14.45" customHeight="1">
      <c r="J1163" s="9"/>
    </row>
    <row r="1164" spans="10:10" customFormat="1" ht="14.45" customHeight="1">
      <c r="J1164" s="9"/>
    </row>
    <row r="1165" spans="10:10" customFormat="1" ht="14.45" customHeight="1">
      <c r="J1165" s="9"/>
    </row>
    <row r="1166" spans="10:10" customFormat="1" ht="14.45" customHeight="1">
      <c r="J1166" s="9"/>
    </row>
    <row r="1167" spans="10:10" customFormat="1" ht="14.45" customHeight="1">
      <c r="J1167" s="9"/>
    </row>
    <row r="1168" spans="10:10" customFormat="1" ht="14.45" customHeight="1">
      <c r="J1168" s="9"/>
    </row>
    <row r="1169" spans="10:10" customFormat="1" ht="14.45" customHeight="1">
      <c r="J1169" s="9"/>
    </row>
    <row r="1170" spans="10:10" customFormat="1" ht="14.45" customHeight="1">
      <c r="J1170" s="9"/>
    </row>
    <row r="1171" spans="10:10" customFormat="1" ht="14.45" customHeight="1">
      <c r="J1171" s="9"/>
    </row>
    <row r="1172" spans="10:10" customFormat="1" ht="14.45" customHeight="1">
      <c r="J1172" s="9"/>
    </row>
    <row r="1173" spans="10:10" customFormat="1" ht="14.45" customHeight="1">
      <c r="J1173" s="9"/>
    </row>
    <row r="1174" spans="10:10" customFormat="1" ht="14.45" customHeight="1">
      <c r="J1174" s="9"/>
    </row>
    <row r="1175" spans="10:10" customFormat="1" ht="14.45" customHeight="1">
      <c r="J1175" s="9"/>
    </row>
    <row r="1176" spans="10:10" customFormat="1" ht="14.45" customHeight="1">
      <c r="J1176" s="9"/>
    </row>
    <row r="1177" spans="10:10" customFormat="1" ht="14.45" customHeight="1">
      <c r="J1177" s="9"/>
    </row>
    <row r="1178" spans="10:10" customFormat="1" ht="14.45" customHeight="1">
      <c r="J1178" s="9"/>
    </row>
    <row r="1179" spans="10:10" customFormat="1" ht="14.45" customHeight="1">
      <c r="J1179" s="9"/>
    </row>
    <row r="1180" spans="10:10" customFormat="1" ht="14.45" customHeight="1">
      <c r="J1180" s="9"/>
    </row>
    <row r="1181" spans="10:10" customFormat="1" ht="14.45" customHeight="1">
      <c r="J1181" s="9"/>
    </row>
    <row r="1182" spans="10:10" customFormat="1" ht="14.45" customHeight="1">
      <c r="J1182" s="9"/>
    </row>
    <row r="1183" spans="10:10" customFormat="1" ht="14.45" customHeight="1">
      <c r="J1183" s="9"/>
    </row>
    <row r="1184" spans="10:10" customFormat="1" ht="14.45" customHeight="1">
      <c r="J1184" s="9"/>
    </row>
    <row r="1185" spans="10:10" customFormat="1" ht="14.45" customHeight="1">
      <c r="J1185" s="9"/>
    </row>
    <row r="1186" spans="10:10" customFormat="1" ht="14.45" customHeight="1">
      <c r="J1186" s="9"/>
    </row>
    <row r="1187" spans="10:10" customFormat="1" ht="14.45" customHeight="1">
      <c r="J1187" s="9"/>
    </row>
    <row r="1188" spans="10:10" customFormat="1" ht="14.45" customHeight="1">
      <c r="J1188" s="9"/>
    </row>
    <row r="1189" spans="10:10" customFormat="1" ht="14.45" customHeight="1">
      <c r="J1189" s="9"/>
    </row>
    <row r="1190" spans="10:10" customFormat="1" ht="14.45" customHeight="1">
      <c r="J1190" s="9"/>
    </row>
    <row r="1191" spans="10:10" customFormat="1" ht="14.45" customHeight="1">
      <c r="J1191" s="9"/>
    </row>
    <row r="1192" spans="10:10" customFormat="1" ht="14.45" customHeight="1">
      <c r="J1192" s="9"/>
    </row>
    <row r="1193" spans="10:10" customFormat="1" ht="14.45" customHeight="1">
      <c r="J1193" s="9"/>
    </row>
    <row r="1194" spans="10:10" customFormat="1" ht="14.45" customHeight="1">
      <c r="J1194" s="9"/>
    </row>
    <row r="1195" spans="10:10" customFormat="1" ht="14.45" customHeight="1">
      <c r="J1195" s="9"/>
    </row>
    <row r="1196" spans="10:10" customFormat="1" ht="14.45" customHeight="1">
      <c r="J1196" s="9"/>
    </row>
    <row r="1197" spans="10:10" customFormat="1" ht="14.45" customHeight="1">
      <c r="J1197" s="9"/>
    </row>
    <row r="1198" spans="10:10" customFormat="1" ht="14.45" customHeight="1">
      <c r="J1198" s="9"/>
    </row>
    <row r="1199" spans="10:10" customFormat="1" ht="14.45" customHeight="1">
      <c r="J1199" s="9"/>
    </row>
    <row r="1200" spans="10:10" customFormat="1" ht="14.45" customHeight="1">
      <c r="J1200" s="9"/>
    </row>
    <row r="1201" spans="10:10" customFormat="1" ht="14.45" customHeight="1">
      <c r="J1201" s="9"/>
    </row>
    <row r="1202" spans="10:10" customFormat="1" ht="14.45" customHeight="1">
      <c r="J1202" s="9"/>
    </row>
    <row r="1203" spans="10:10" customFormat="1" ht="14.45" customHeight="1">
      <c r="J1203" s="9"/>
    </row>
    <row r="1204" spans="10:10" customFormat="1" ht="14.45" customHeight="1">
      <c r="J1204" s="9"/>
    </row>
    <row r="1205" spans="10:10" customFormat="1" ht="14.45" customHeight="1">
      <c r="J1205" s="9"/>
    </row>
    <row r="1206" spans="10:10" customFormat="1" ht="14.45" customHeight="1">
      <c r="J1206" s="9"/>
    </row>
    <row r="1207" spans="10:10" customFormat="1" ht="14.45" customHeight="1">
      <c r="J1207" s="9"/>
    </row>
    <row r="1208" spans="10:10" customFormat="1" ht="14.45" customHeight="1">
      <c r="J1208" s="9"/>
    </row>
    <row r="1209" spans="10:10" customFormat="1" ht="14.45" customHeight="1">
      <c r="J1209" s="9"/>
    </row>
    <row r="1210" spans="10:10" customFormat="1" ht="14.45" customHeight="1">
      <c r="J1210" s="9"/>
    </row>
    <row r="1211" spans="10:10" customFormat="1" ht="14.45" customHeight="1">
      <c r="J1211" s="9"/>
    </row>
    <row r="1212" spans="10:10" customFormat="1" ht="14.45" customHeight="1">
      <c r="J1212" s="9"/>
    </row>
    <row r="1213" spans="10:10" customFormat="1" ht="14.45" customHeight="1">
      <c r="J1213" s="9"/>
    </row>
    <row r="1214" spans="10:10" customFormat="1" ht="14.45" customHeight="1">
      <c r="J1214" s="9"/>
    </row>
    <row r="1215" spans="10:10" customFormat="1" ht="14.45" customHeight="1">
      <c r="J1215" s="9"/>
    </row>
    <row r="1216" spans="10:10" customFormat="1" ht="14.45" customHeight="1">
      <c r="J1216" s="9"/>
    </row>
    <row r="1217" spans="10:10" customFormat="1" ht="14.45" customHeight="1">
      <c r="J1217" s="9"/>
    </row>
    <row r="1218" spans="10:10" customFormat="1" ht="14.45" customHeight="1">
      <c r="J1218" s="9"/>
    </row>
    <row r="1219" spans="10:10" customFormat="1" ht="14.45" customHeight="1">
      <c r="J1219" s="9"/>
    </row>
    <row r="1220" spans="10:10" customFormat="1" ht="14.45" customHeight="1">
      <c r="J1220" s="9"/>
    </row>
    <row r="1221" spans="10:10" customFormat="1" ht="14.45" customHeight="1">
      <c r="J1221" s="9"/>
    </row>
    <row r="1222" spans="10:10" customFormat="1" ht="14.45" customHeight="1">
      <c r="J1222" s="9"/>
    </row>
    <row r="1223" spans="10:10" customFormat="1" ht="14.45" customHeight="1">
      <c r="J1223" s="9"/>
    </row>
    <row r="1224" spans="10:10" customFormat="1" ht="14.45" customHeight="1">
      <c r="J1224" s="9"/>
    </row>
    <row r="1225" spans="10:10" customFormat="1" ht="14.45" customHeight="1">
      <c r="J1225" s="9"/>
    </row>
    <row r="1226" spans="10:10" customFormat="1" ht="14.45" customHeight="1">
      <c r="J1226" s="9"/>
    </row>
    <row r="1227" spans="10:10" customFormat="1" ht="14.45" customHeight="1">
      <c r="J1227" s="9"/>
    </row>
    <row r="1228" spans="10:10" customFormat="1" ht="14.45" customHeight="1">
      <c r="J1228" s="9"/>
    </row>
    <row r="1229" spans="10:10" customFormat="1" ht="14.45" customHeight="1">
      <c r="J1229" s="9"/>
    </row>
    <row r="1230" spans="10:10" customFormat="1" ht="14.45" customHeight="1">
      <c r="J1230" s="9"/>
    </row>
    <row r="1231" spans="10:10" customFormat="1" ht="14.45" customHeight="1">
      <c r="J1231" s="9"/>
    </row>
    <row r="1232" spans="10:10" customFormat="1" ht="14.45" customHeight="1">
      <c r="J1232" s="9"/>
    </row>
    <row r="1233" spans="10:10" customFormat="1" ht="14.45" customHeight="1">
      <c r="J1233" s="9"/>
    </row>
    <row r="1234" spans="10:10" customFormat="1" ht="14.45" customHeight="1">
      <c r="J1234" s="9"/>
    </row>
    <row r="1235" spans="10:10" customFormat="1" ht="14.45" customHeight="1">
      <c r="J1235" s="9"/>
    </row>
    <row r="1236" spans="10:10" customFormat="1" ht="14.45" customHeight="1">
      <c r="J1236" s="9"/>
    </row>
    <row r="1237" spans="10:10" customFormat="1" ht="14.45" customHeight="1">
      <c r="J1237" s="9"/>
    </row>
    <row r="1238" spans="10:10" customFormat="1" ht="14.45" customHeight="1">
      <c r="J1238" s="9"/>
    </row>
    <row r="1239" spans="10:10" customFormat="1" ht="14.45" customHeight="1">
      <c r="J1239" s="9"/>
    </row>
    <row r="1240" spans="10:10" customFormat="1" ht="14.45" customHeight="1">
      <c r="J1240" s="9"/>
    </row>
    <row r="1241" spans="10:10" customFormat="1" ht="14.45" customHeight="1">
      <c r="J1241" s="9"/>
    </row>
    <row r="1242" spans="10:10" customFormat="1" ht="14.45" customHeight="1">
      <c r="J1242" s="9"/>
    </row>
    <row r="1243" spans="10:10" customFormat="1" ht="14.45" customHeight="1">
      <c r="J1243" s="9"/>
    </row>
    <row r="1244" spans="10:10" customFormat="1" ht="14.45" customHeight="1">
      <c r="J1244" s="9"/>
    </row>
    <row r="1245" spans="10:10" customFormat="1" ht="14.45" customHeight="1">
      <c r="J1245" s="9"/>
    </row>
    <row r="1246" spans="10:10" customFormat="1" ht="14.45" customHeight="1">
      <c r="J1246" s="9"/>
    </row>
    <row r="1247" spans="10:10" customFormat="1" ht="14.45" customHeight="1">
      <c r="J1247" s="9"/>
    </row>
    <row r="1248" spans="10:10" customFormat="1" ht="14.45" customHeight="1">
      <c r="J1248" s="9"/>
    </row>
    <row r="1249" spans="10:10" customFormat="1" ht="14.45" customHeight="1">
      <c r="J1249" s="9"/>
    </row>
    <row r="1250" spans="10:10" customFormat="1" ht="14.45" customHeight="1">
      <c r="J1250" s="9"/>
    </row>
    <row r="1251" spans="10:10" customFormat="1" ht="14.45" customHeight="1">
      <c r="J1251" s="9"/>
    </row>
    <row r="1252" spans="10:10" customFormat="1" ht="14.45" customHeight="1">
      <c r="J1252" s="9"/>
    </row>
    <row r="1253" spans="10:10" customFormat="1" ht="14.45" customHeight="1">
      <c r="J1253" s="9"/>
    </row>
    <row r="1254" spans="10:10" customFormat="1" ht="14.45" customHeight="1">
      <c r="J1254" s="9"/>
    </row>
    <row r="1255" spans="10:10" customFormat="1" ht="14.45" customHeight="1">
      <c r="J1255" s="9"/>
    </row>
    <row r="1256" spans="10:10" customFormat="1" ht="14.45" customHeight="1">
      <c r="J1256" s="9"/>
    </row>
    <row r="1257" spans="10:10" customFormat="1" ht="14.45" customHeight="1">
      <c r="J1257" s="9"/>
    </row>
    <row r="1258" spans="10:10" customFormat="1" ht="14.45" customHeight="1">
      <c r="J1258" s="9"/>
    </row>
    <row r="1259" spans="10:10" customFormat="1" ht="14.45" customHeight="1">
      <c r="J1259" s="9"/>
    </row>
    <row r="1260" spans="10:10" customFormat="1" ht="14.45" customHeight="1">
      <c r="J1260" s="9"/>
    </row>
    <row r="1261" spans="10:10" customFormat="1" ht="14.45" customHeight="1">
      <c r="J1261" s="9"/>
    </row>
    <row r="1262" spans="10:10" customFormat="1" ht="14.45" customHeight="1">
      <c r="J1262" s="9"/>
    </row>
    <row r="1263" spans="10:10" customFormat="1" ht="14.45" customHeight="1">
      <c r="J1263" s="9"/>
    </row>
    <row r="1264" spans="10:10" customFormat="1" ht="14.45" customHeight="1">
      <c r="J1264" s="9"/>
    </row>
    <row r="1265" spans="10:10" customFormat="1" ht="14.45" customHeight="1">
      <c r="J1265" s="9"/>
    </row>
    <row r="1266" spans="10:10" customFormat="1" ht="14.45" customHeight="1">
      <c r="J1266" s="9"/>
    </row>
    <row r="1267" spans="10:10" customFormat="1" ht="14.45" customHeight="1">
      <c r="J1267" s="9"/>
    </row>
    <row r="1268" spans="10:10" customFormat="1" ht="14.45" customHeight="1">
      <c r="J1268" s="9"/>
    </row>
    <row r="1269" spans="10:10" customFormat="1" ht="14.45" customHeight="1">
      <c r="J1269" s="9"/>
    </row>
    <row r="1270" spans="10:10" customFormat="1" ht="14.45" customHeight="1">
      <c r="J1270" s="9"/>
    </row>
    <row r="1271" spans="10:10" customFormat="1" ht="14.45" customHeight="1">
      <c r="J1271" s="9"/>
    </row>
    <row r="1272" spans="10:10" customFormat="1" ht="14.45" customHeight="1">
      <c r="J1272" s="9"/>
    </row>
    <row r="1273" spans="10:10" customFormat="1" ht="14.45" customHeight="1">
      <c r="J1273" s="9"/>
    </row>
    <row r="1274" spans="10:10" customFormat="1" ht="14.45" customHeight="1">
      <c r="J1274" s="9"/>
    </row>
    <row r="1275" spans="10:10" customFormat="1" ht="14.45" customHeight="1">
      <c r="J1275" s="9"/>
    </row>
    <row r="1276" spans="10:10" customFormat="1" ht="14.45" customHeight="1">
      <c r="J1276" s="9"/>
    </row>
    <row r="1277" spans="10:10" customFormat="1" ht="14.45" customHeight="1">
      <c r="J1277" s="9"/>
    </row>
    <row r="1278" spans="10:10" customFormat="1" ht="14.45" customHeight="1">
      <c r="J1278" s="9"/>
    </row>
    <row r="1279" spans="10:10" customFormat="1" ht="14.45" customHeight="1">
      <c r="J1279" s="9"/>
    </row>
    <row r="1280" spans="10:10" customFormat="1" ht="14.45" customHeight="1">
      <c r="J1280" s="9"/>
    </row>
    <row r="1281" spans="10:10" customFormat="1" ht="14.45" customHeight="1">
      <c r="J1281" s="9"/>
    </row>
    <row r="1282" spans="10:10" customFormat="1" ht="14.45" customHeight="1">
      <c r="J1282" s="9"/>
    </row>
    <row r="1283" spans="10:10" customFormat="1" ht="14.45" customHeight="1">
      <c r="J1283" s="9"/>
    </row>
    <row r="1284" spans="10:10" customFormat="1" ht="14.45" customHeight="1">
      <c r="J1284" s="9"/>
    </row>
    <row r="1285" spans="10:10" customFormat="1" ht="14.45" customHeight="1">
      <c r="J1285" s="9"/>
    </row>
    <row r="1286" spans="10:10" customFormat="1" ht="14.45" customHeight="1">
      <c r="J1286" s="9"/>
    </row>
    <row r="1287" spans="10:10" customFormat="1" ht="14.45" customHeight="1">
      <c r="J1287" s="9"/>
    </row>
    <row r="1288" spans="10:10" customFormat="1" ht="14.45" customHeight="1">
      <c r="J1288" s="9"/>
    </row>
    <row r="1289" spans="10:10" customFormat="1" ht="14.45" customHeight="1">
      <c r="J1289" s="9"/>
    </row>
    <row r="1290" spans="10:10" customFormat="1" ht="14.45" customHeight="1">
      <c r="J1290" s="9"/>
    </row>
    <row r="1291" spans="10:10" customFormat="1" ht="14.45" customHeight="1">
      <c r="J1291" s="9"/>
    </row>
    <row r="1292" spans="10:10" customFormat="1" ht="14.45" customHeight="1">
      <c r="J1292" s="9"/>
    </row>
    <row r="1293" spans="10:10" customFormat="1" ht="14.45" customHeight="1">
      <c r="J1293" s="9"/>
    </row>
    <row r="1294" spans="10:10" customFormat="1" ht="14.45" customHeight="1">
      <c r="J1294" s="9"/>
    </row>
    <row r="1295" spans="10:10" customFormat="1" ht="14.45" customHeight="1">
      <c r="J1295" s="9"/>
    </row>
    <row r="1296" spans="10:10" customFormat="1" ht="14.45" customHeight="1">
      <c r="J1296" s="9"/>
    </row>
    <row r="1297" spans="10:10" customFormat="1" ht="14.45" customHeight="1">
      <c r="J1297" s="9"/>
    </row>
    <row r="1298" spans="10:10" customFormat="1" ht="14.45" customHeight="1">
      <c r="J1298" s="9"/>
    </row>
    <row r="1299" spans="10:10" customFormat="1" ht="14.45" customHeight="1">
      <c r="J1299" s="9"/>
    </row>
    <row r="1300" spans="10:10" customFormat="1" ht="14.45" customHeight="1">
      <c r="J1300" s="9"/>
    </row>
    <row r="1301" spans="10:10" customFormat="1" ht="14.45" customHeight="1">
      <c r="J1301" s="9"/>
    </row>
    <row r="1302" spans="10:10" customFormat="1" ht="14.45" customHeight="1">
      <c r="J1302" s="9"/>
    </row>
    <row r="1303" spans="10:10" customFormat="1" ht="14.45" customHeight="1">
      <c r="J1303" s="9"/>
    </row>
    <row r="1304" spans="10:10" customFormat="1" ht="14.45" customHeight="1">
      <c r="J1304" s="9"/>
    </row>
    <row r="1305" spans="10:10" customFormat="1" ht="14.45" customHeight="1">
      <c r="J1305" s="9"/>
    </row>
    <row r="1306" spans="10:10" customFormat="1" ht="14.45" customHeight="1">
      <c r="J1306" s="9"/>
    </row>
    <row r="1307" spans="10:10" customFormat="1" ht="14.45" customHeight="1">
      <c r="J1307" s="9"/>
    </row>
    <row r="1308" spans="10:10" customFormat="1" ht="14.45" customHeight="1">
      <c r="J1308" s="9"/>
    </row>
    <row r="1309" spans="10:10" customFormat="1" ht="14.45" customHeight="1">
      <c r="J1309" s="9"/>
    </row>
    <row r="1310" spans="10:10" customFormat="1" ht="14.45" customHeight="1">
      <c r="J1310" s="9"/>
    </row>
    <row r="1311" spans="10:10" customFormat="1" ht="14.45" customHeight="1">
      <c r="J1311" s="9"/>
    </row>
    <row r="1312" spans="10:10" customFormat="1" ht="14.45" customHeight="1">
      <c r="J1312" s="9"/>
    </row>
    <row r="1313" spans="10:10" customFormat="1" ht="14.45" customHeight="1">
      <c r="J1313" s="9"/>
    </row>
    <row r="1314" spans="10:10" customFormat="1" ht="14.45" customHeight="1">
      <c r="J1314" s="9"/>
    </row>
    <row r="1315" spans="10:10" customFormat="1" ht="14.45" customHeight="1">
      <c r="J1315" s="9"/>
    </row>
    <row r="1316" spans="10:10" customFormat="1" ht="14.45" customHeight="1">
      <c r="J1316" s="9"/>
    </row>
    <row r="1317" spans="10:10" customFormat="1" ht="14.45" customHeight="1">
      <c r="J1317" s="9"/>
    </row>
    <row r="1318" spans="10:10" customFormat="1" ht="14.45" customHeight="1">
      <c r="J1318" s="9"/>
    </row>
    <row r="1319" spans="10:10" customFormat="1" ht="14.45" customHeight="1">
      <c r="J1319" s="9"/>
    </row>
    <row r="1320" spans="10:10" customFormat="1" ht="14.45" customHeight="1">
      <c r="J1320" s="9"/>
    </row>
    <row r="1321" spans="10:10" customFormat="1" ht="14.45" customHeight="1">
      <c r="J1321" s="9"/>
    </row>
    <row r="1322" spans="10:10" customFormat="1" ht="14.45" customHeight="1">
      <c r="J1322" s="9"/>
    </row>
    <row r="1323" spans="10:10" customFormat="1" ht="14.45" customHeight="1">
      <c r="J1323" s="9"/>
    </row>
    <row r="1324" spans="10:10" customFormat="1" ht="14.45" customHeight="1">
      <c r="J1324" s="9"/>
    </row>
    <row r="1325" spans="10:10" customFormat="1" ht="14.45" customHeight="1">
      <c r="J1325" s="9"/>
    </row>
    <row r="1326" spans="10:10" customFormat="1" ht="14.45" customHeight="1">
      <c r="J1326" s="9"/>
    </row>
    <row r="1327" spans="10:10" customFormat="1" ht="14.45" customHeight="1">
      <c r="J1327" s="9"/>
    </row>
    <row r="1328" spans="10:10" customFormat="1" ht="14.45" customHeight="1">
      <c r="J1328" s="9"/>
    </row>
    <row r="1329" spans="10:10" customFormat="1" ht="14.45" customHeight="1">
      <c r="J1329" s="9"/>
    </row>
    <row r="1330" spans="10:10" customFormat="1" ht="14.45" customHeight="1">
      <c r="J1330" s="9"/>
    </row>
    <row r="1331" spans="10:10" customFormat="1" ht="14.45" customHeight="1">
      <c r="J1331" s="9"/>
    </row>
    <row r="1332" spans="10:10" customFormat="1" ht="14.45" customHeight="1">
      <c r="J1332" s="9"/>
    </row>
    <row r="1333" spans="10:10" customFormat="1" ht="14.45" customHeight="1">
      <c r="J1333" s="9"/>
    </row>
    <row r="1334" spans="10:10" customFormat="1" ht="14.45" customHeight="1">
      <c r="J1334" s="9"/>
    </row>
    <row r="1335" spans="10:10" customFormat="1" ht="14.45" customHeight="1">
      <c r="J1335" s="9"/>
    </row>
    <row r="1336" spans="10:10" customFormat="1" ht="14.45" customHeight="1">
      <c r="J1336" s="9"/>
    </row>
    <row r="1337" spans="10:10" customFormat="1" ht="14.45" customHeight="1">
      <c r="J1337" s="9"/>
    </row>
    <row r="1338" spans="10:10" customFormat="1" ht="14.45" customHeight="1">
      <c r="J1338" s="9"/>
    </row>
    <row r="1339" spans="10:10" customFormat="1" ht="14.45" customHeight="1">
      <c r="J1339" s="9"/>
    </row>
    <row r="1340" spans="10:10" customFormat="1" ht="14.45" customHeight="1">
      <c r="J1340" s="9"/>
    </row>
    <row r="1341" spans="10:10" customFormat="1" ht="14.45" customHeight="1">
      <c r="J1341" s="9"/>
    </row>
    <row r="1342" spans="10:10" customFormat="1" ht="14.45" customHeight="1">
      <c r="J1342" s="9"/>
    </row>
    <row r="1343" spans="10:10" customFormat="1" ht="14.45" customHeight="1">
      <c r="J1343" s="9"/>
    </row>
    <row r="1344" spans="10:10" customFormat="1" ht="14.45" customHeight="1">
      <c r="J1344" s="9"/>
    </row>
    <row r="1345" spans="10:10" customFormat="1" ht="14.45" customHeight="1">
      <c r="J1345" s="9"/>
    </row>
    <row r="1346" spans="10:10" customFormat="1" ht="14.45" customHeight="1">
      <c r="J1346" s="9"/>
    </row>
    <row r="1347" spans="10:10" customFormat="1" ht="14.45" customHeight="1">
      <c r="J1347" s="9"/>
    </row>
    <row r="1348" spans="10:10" customFormat="1" ht="14.45" customHeight="1">
      <c r="J1348" s="9"/>
    </row>
    <row r="1349" spans="10:10" customFormat="1" ht="14.45" customHeight="1">
      <c r="J1349" s="9"/>
    </row>
    <row r="1350" spans="10:10" customFormat="1" ht="14.45" customHeight="1">
      <c r="J1350" s="9"/>
    </row>
    <row r="1351" spans="10:10" customFormat="1" ht="14.45" customHeight="1">
      <c r="J1351" s="9"/>
    </row>
    <row r="1352" spans="10:10" customFormat="1" ht="14.45" customHeight="1">
      <c r="J1352" s="9"/>
    </row>
    <row r="1353" spans="10:10" customFormat="1" ht="14.45" customHeight="1">
      <c r="J1353" s="9"/>
    </row>
    <row r="1354" spans="10:10" customFormat="1" ht="14.45" customHeight="1">
      <c r="J1354" s="9"/>
    </row>
    <row r="1355" spans="10:10" customFormat="1" ht="14.45" customHeight="1">
      <c r="J1355" s="9"/>
    </row>
    <row r="1356" spans="10:10" customFormat="1" ht="14.45" customHeight="1">
      <c r="J1356" s="9"/>
    </row>
    <row r="1357" spans="10:10" customFormat="1" ht="14.45" customHeight="1">
      <c r="J1357" s="9"/>
    </row>
    <row r="1358" spans="10:10" customFormat="1" ht="14.45" customHeight="1">
      <c r="J1358" s="9"/>
    </row>
    <row r="1359" spans="10:10" customFormat="1" ht="14.45" customHeight="1">
      <c r="J1359" s="9"/>
    </row>
    <row r="1360" spans="10:10" customFormat="1" ht="14.45" customHeight="1">
      <c r="J1360" s="9"/>
    </row>
    <row r="1361" spans="10:10" customFormat="1" ht="14.45" customHeight="1">
      <c r="J1361" s="9"/>
    </row>
    <row r="1362" spans="10:10" customFormat="1" ht="14.45" customHeight="1">
      <c r="J1362" s="9"/>
    </row>
    <row r="1363" spans="10:10" customFormat="1" ht="14.45" customHeight="1">
      <c r="J1363" s="9"/>
    </row>
    <row r="1364" spans="10:10" customFormat="1" ht="14.45" customHeight="1">
      <c r="J1364" s="9"/>
    </row>
    <row r="1365" spans="10:10" customFormat="1" ht="14.45" customHeight="1">
      <c r="J1365" s="9"/>
    </row>
    <row r="1366" spans="10:10" customFormat="1" ht="14.45" customHeight="1">
      <c r="J1366" s="9"/>
    </row>
    <row r="1367" spans="10:10" customFormat="1" ht="14.45" customHeight="1">
      <c r="J1367" s="9"/>
    </row>
    <row r="1368" spans="10:10" customFormat="1" ht="14.45" customHeight="1">
      <c r="J1368" s="9"/>
    </row>
    <row r="1369" spans="10:10" customFormat="1" ht="14.45" customHeight="1">
      <c r="J1369" s="9"/>
    </row>
    <row r="1370" spans="10:10" customFormat="1" ht="14.45" customHeight="1">
      <c r="J1370" s="9"/>
    </row>
    <row r="1371" spans="10:10" customFormat="1" ht="14.45" customHeight="1">
      <c r="J1371" s="9"/>
    </row>
    <row r="1372" spans="10:10" customFormat="1" ht="14.45" customHeight="1">
      <c r="J1372" s="9"/>
    </row>
    <row r="1373" spans="10:10" customFormat="1" ht="14.45" customHeight="1">
      <c r="J1373" s="9"/>
    </row>
    <row r="1374" spans="10:10" customFormat="1" ht="14.45" customHeight="1">
      <c r="J1374" s="9"/>
    </row>
    <row r="1375" spans="10:10" customFormat="1" ht="14.45" customHeight="1">
      <c r="J1375" s="9"/>
    </row>
    <row r="1376" spans="10:10" customFormat="1" ht="14.45" customHeight="1">
      <c r="J1376" s="9"/>
    </row>
    <row r="1377" spans="10:10" customFormat="1" ht="14.45" customHeight="1">
      <c r="J1377" s="9"/>
    </row>
    <row r="1378" spans="10:10" customFormat="1" ht="14.45" customHeight="1">
      <c r="J1378" s="9"/>
    </row>
    <row r="1379" spans="10:10" customFormat="1" ht="14.45" customHeight="1">
      <c r="J1379" s="9"/>
    </row>
    <row r="1380" spans="10:10" customFormat="1" ht="14.45" customHeight="1">
      <c r="J1380" s="9"/>
    </row>
    <row r="1381" spans="10:10" customFormat="1" ht="14.45" customHeight="1">
      <c r="J1381" s="9"/>
    </row>
    <row r="1382" spans="10:10" customFormat="1" ht="14.45" customHeight="1">
      <c r="J1382" s="9"/>
    </row>
    <row r="1383" spans="10:10" customFormat="1" ht="14.45" customHeight="1">
      <c r="J1383" s="9"/>
    </row>
    <row r="1384" spans="10:10" customFormat="1" ht="14.45" customHeight="1">
      <c r="J1384" s="9"/>
    </row>
    <row r="1385" spans="10:10" customFormat="1" ht="14.45" customHeight="1">
      <c r="J1385" s="9"/>
    </row>
    <row r="1386" spans="10:10" customFormat="1" ht="14.45" customHeight="1">
      <c r="J1386" s="9"/>
    </row>
    <row r="1387" spans="10:10" customFormat="1" ht="14.45" customHeight="1">
      <c r="J1387" s="9"/>
    </row>
    <row r="1388" spans="10:10" customFormat="1" ht="14.45" customHeight="1">
      <c r="J1388" s="9"/>
    </row>
    <row r="1389" spans="10:10" customFormat="1" ht="14.45" customHeight="1">
      <c r="J1389" s="9"/>
    </row>
    <row r="1390" spans="10:10" customFormat="1" ht="14.45" customHeight="1">
      <c r="J1390" s="9"/>
    </row>
    <row r="1391" spans="10:10" customFormat="1" ht="14.45" customHeight="1">
      <c r="J1391" s="9"/>
    </row>
    <row r="1392" spans="10:10" customFormat="1" ht="14.45" customHeight="1">
      <c r="J1392" s="9"/>
    </row>
    <row r="1393" spans="10:10" customFormat="1" ht="14.45" customHeight="1">
      <c r="J1393" s="9"/>
    </row>
    <row r="1394" spans="10:10" customFormat="1" ht="14.45" customHeight="1">
      <c r="J1394" s="9"/>
    </row>
    <row r="1395" spans="10:10" customFormat="1" ht="14.45" customHeight="1">
      <c r="J1395" s="9"/>
    </row>
    <row r="1396" spans="10:10" customFormat="1" ht="14.45" customHeight="1">
      <c r="J1396" s="9"/>
    </row>
    <row r="1397" spans="10:10" customFormat="1" ht="14.45" customHeight="1">
      <c r="J1397" s="9"/>
    </row>
    <row r="1398" spans="10:10" customFormat="1" ht="14.45" customHeight="1">
      <c r="J1398" s="9"/>
    </row>
    <row r="1399" spans="10:10" customFormat="1" ht="14.45" customHeight="1">
      <c r="J1399" s="9"/>
    </row>
    <row r="1400" spans="10:10" customFormat="1" ht="14.45" customHeight="1">
      <c r="J1400" s="9"/>
    </row>
    <row r="1401" spans="10:10" customFormat="1" ht="14.45" customHeight="1">
      <c r="J1401" s="9"/>
    </row>
    <row r="1402" spans="10:10" customFormat="1" ht="14.45" customHeight="1">
      <c r="J1402" s="9"/>
    </row>
    <row r="1403" spans="10:10" customFormat="1" ht="14.45" customHeight="1">
      <c r="J1403" s="9"/>
    </row>
    <row r="1404" spans="10:10" customFormat="1" ht="14.45" customHeight="1">
      <c r="J1404" s="9"/>
    </row>
    <row r="1405" spans="10:10" customFormat="1" ht="14.45" customHeight="1">
      <c r="J1405" s="9"/>
    </row>
    <row r="1406" spans="10:10" customFormat="1" ht="14.45" customHeight="1">
      <c r="J1406" s="9"/>
    </row>
    <row r="1407" spans="10:10" customFormat="1" ht="14.45" customHeight="1">
      <c r="J1407" s="9"/>
    </row>
    <row r="1408" spans="10:10" customFormat="1" ht="14.45" customHeight="1">
      <c r="J1408" s="9"/>
    </row>
    <row r="1409" spans="10:10" customFormat="1" ht="14.45" customHeight="1">
      <c r="J1409" s="9"/>
    </row>
    <row r="1410" spans="10:10" customFormat="1" ht="14.45" customHeight="1">
      <c r="J1410" s="9"/>
    </row>
    <row r="1411" spans="10:10" customFormat="1" ht="14.45" customHeight="1">
      <c r="J1411" s="9"/>
    </row>
    <row r="1412" spans="10:10" customFormat="1" ht="14.45" customHeight="1">
      <c r="J1412" s="9"/>
    </row>
    <row r="1413" spans="10:10" customFormat="1" ht="14.45" customHeight="1">
      <c r="J1413" s="9"/>
    </row>
    <row r="1414" spans="10:10" customFormat="1" ht="14.45" customHeight="1">
      <c r="J1414" s="9"/>
    </row>
    <row r="1415" spans="10:10" customFormat="1" ht="14.45" customHeight="1">
      <c r="J1415" s="9"/>
    </row>
    <row r="1416" spans="10:10" customFormat="1" ht="14.45" customHeight="1">
      <c r="J1416" s="9"/>
    </row>
    <row r="1417" spans="10:10" customFormat="1" ht="14.45" customHeight="1">
      <c r="J1417" s="9"/>
    </row>
    <row r="1418" spans="10:10" customFormat="1" ht="14.45" customHeight="1">
      <c r="J1418" s="9"/>
    </row>
    <row r="1419" spans="10:10" customFormat="1" ht="14.45" customHeight="1">
      <c r="J1419" s="9"/>
    </row>
    <row r="1420" spans="10:10" customFormat="1" ht="14.45" customHeight="1">
      <c r="J1420" s="9"/>
    </row>
    <row r="1421" spans="10:10" customFormat="1" ht="14.45" customHeight="1">
      <c r="J1421" s="9"/>
    </row>
    <row r="1422" spans="10:10" customFormat="1" ht="14.45" customHeight="1">
      <c r="J1422" s="9"/>
    </row>
    <row r="1423" spans="10:10" customFormat="1" ht="14.45" customHeight="1">
      <c r="J1423" s="9"/>
    </row>
    <row r="1424" spans="10:10" customFormat="1" ht="14.45" customHeight="1">
      <c r="J1424" s="9"/>
    </row>
    <row r="1425" spans="10:10" customFormat="1" ht="14.45" customHeight="1">
      <c r="J1425" s="9"/>
    </row>
    <row r="1426" spans="10:10" customFormat="1" ht="14.45" customHeight="1">
      <c r="J1426" s="9"/>
    </row>
    <row r="1427" spans="10:10" customFormat="1" ht="14.45" customHeight="1">
      <c r="J1427" s="9"/>
    </row>
    <row r="1428" spans="10:10" customFormat="1" ht="14.45" customHeight="1">
      <c r="J1428" s="9"/>
    </row>
    <row r="1429" spans="10:10" customFormat="1" ht="14.45" customHeight="1">
      <c r="J1429" s="9"/>
    </row>
    <row r="1430" spans="10:10" customFormat="1" ht="14.45" customHeight="1">
      <c r="J1430" s="9"/>
    </row>
    <row r="1431" spans="10:10" customFormat="1" ht="14.45" customHeight="1">
      <c r="J1431" s="9"/>
    </row>
    <row r="1432" spans="10:10" customFormat="1" ht="14.45" customHeight="1">
      <c r="J1432" s="9"/>
    </row>
    <row r="1433" spans="10:10" customFormat="1" ht="14.45" customHeight="1">
      <c r="J1433" s="9"/>
    </row>
    <row r="1434" spans="10:10" customFormat="1" ht="14.45" customHeight="1">
      <c r="J1434" s="9"/>
    </row>
    <row r="1435" spans="10:10" customFormat="1" ht="14.45" customHeight="1">
      <c r="J1435" s="9"/>
    </row>
    <row r="1436" spans="10:10" customFormat="1" ht="14.45" customHeight="1">
      <c r="J1436" s="9"/>
    </row>
    <row r="1437" spans="10:10" customFormat="1" ht="14.45" customHeight="1">
      <c r="J1437" s="9"/>
    </row>
    <row r="1438" spans="10:10" customFormat="1" ht="14.45" customHeight="1">
      <c r="J1438" s="9"/>
    </row>
    <row r="1439" spans="10:10" customFormat="1" ht="14.45" customHeight="1">
      <c r="J1439" s="9"/>
    </row>
    <row r="1440" spans="10:10" customFormat="1" ht="14.45" customHeight="1">
      <c r="J1440" s="9"/>
    </row>
    <row r="1441" spans="10:10" customFormat="1" ht="14.45" customHeight="1">
      <c r="J1441" s="9"/>
    </row>
    <row r="1442" spans="10:10" customFormat="1" ht="14.45" customHeight="1">
      <c r="J1442" s="9"/>
    </row>
    <row r="1443" spans="10:10" customFormat="1" ht="14.45" customHeight="1">
      <c r="J1443" s="9"/>
    </row>
    <row r="1444" spans="10:10" customFormat="1" ht="14.45" customHeight="1">
      <c r="J1444" s="9"/>
    </row>
    <row r="1445" spans="10:10" customFormat="1" ht="14.45" customHeight="1">
      <c r="J1445" s="9"/>
    </row>
    <row r="1446" spans="10:10" customFormat="1" ht="14.45" customHeight="1">
      <c r="J1446" s="9"/>
    </row>
    <row r="1447" spans="10:10" customFormat="1" ht="14.45" customHeight="1">
      <c r="J1447" s="9"/>
    </row>
    <row r="1448" spans="10:10" customFormat="1" ht="14.45" customHeight="1">
      <c r="J1448" s="9"/>
    </row>
    <row r="1449" spans="10:10" customFormat="1" ht="14.45" customHeight="1">
      <c r="J1449" s="9"/>
    </row>
    <row r="1450" spans="10:10" customFormat="1" ht="14.45" customHeight="1">
      <c r="J1450" s="9"/>
    </row>
    <row r="1451" spans="10:10" customFormat="1" ht="14.45" customHeight="1">
      <c r="J1451" s="9"/>
    </row>
    <row r="1452" spans="10:10" customFormat="1" ht="14.45" customHeight="1">
      <c r="J1452" s="9"/>
    </row>
    <row r="1453" spans="10:10" customFormat="1" ht="14.45" customHeight="1">
      <c r="J1453" s="9"/>
    </row>
    <row r="1454" spans="10:10" customFormat="1" ht="14.45" customHeight="1">
      <c r="J1454" s="9"/>
    </row>
    <row r="1455" spans="10:10" customFormat="1" ht="14.45" customHeight="1">
      <c r="J1455" s="9"/>
    </row>
    <row r="1456" spans="10:10" customFormat="1" ht="14.45" customHeight="1">
      <c r="J1456" s="9"/>
    </row>
    <row r="1457" spans="10:10" customFormat="1" ht="14.45" customHeight="1">
      <c r="J1457" s="9"/>
    </row>
    <row r="1458" spans="10:10" customFormat="1" ht="14.45" customHeight="1">
      <c r="J1458" s="9"/>
    </row>
    <row r="1459" spans="10:10" customFormat="1" ht="14.45" customHeight="1">
      <c r="J1459" s="9"/>
    </row>
    <row r="1460" spans="10:10" customFormat="1" ht="14.45" customHeight="1">
      <c r="J1460" s="9"/>
    </row>
    <row r="1461" spans="10:10" customFormat="1" ht="14.45" customHeight="1">
      <c r="J1461" s="9"/>
    </row>
    <row r="1462" spans="10:10" customFormat="1" ht="14.45" customHeight="1">
      <c r="J1462" s="9"/>
    </row>
    <row r="1463" spans="10:10" customFormat="1" ht="14.45" customHeight="1">
      <c r="J1463" s="9"/>
    </row>
    <row r="1464" spans="10:10" customFormat="1" ht="14.45" customHeight="1">
      <c r="J1464" s="9"/>
    </row>
    <row r="1465" spans="10:10" customFormat="1" ht="14.45" customHeight="1">
      <c r="J1465" s="9"/>
    </row>
    <row r="1466" spans="10:10" customFormat="1" ht="14.45" customHeight="1">
      <c r="J1466" s="9"/>
    </row>
    <row r="1467" spans="10:10" customFormat="1" ht="14.45" customHeight="1">
      <c r="J1467" s="9"/>
    </row>
    <row r="1468" spans="10:10" customFormat="1" ht="14.45" customHeight="1">
      <c r="J1468" s="9"/>
    </row>
    <row r="1469" spans="10:10" customFormat="1" ht="14.45" customHeight="1">
      <c r="J1469" s="9"/>
    </row>
    <row r="1470" spans="10:10" customFormat="1" ht="14.45" customHeight="1">
      <c r="J1470" s="9"/>
    </row>
    <row r="1471" spans="10:10" customFormat="1" ht="14.45" customHeight="1">
      <c r="J1471" s="9"/>
    </row>
    <row r="1472" spans="10:10" customFormat="1" ht="14.45" customHeight="1">
      <c r="J1472" s="9"/>
    </row>
    <row r="1473" spans="10:10" customFormat="1" ht="14.45" customHeight="1">
      <c r="J1473" s="9"/>
    </row>
    <row r="1474" spans="10:10" customFormat="1" ht="14.45" customHeight="1">
      <c r="J1474" s="9"/>
    </row>
    <row r="1475" spans="10:10" customFormat="1" ht="14.45" customHeight="1">
      <c r="J1475" s="9"/>
    </row>
    <row r="1476" spans="10:10" customFormat="1" ht="14.45" customHeight="1">
      <c r="J1476" s="9"/>
    </row>
    <row r="1477" spans="10:10" customFormat="1" ht="14.45" customHeight="1">
      <c r="J1477" s="9"/>
    </row>
    <row r="1478" spans="10:10" customFormat="1" ht="14.45" customHeight="1">
      <c r="J1478" s="9"/>
    </row>
    <row r="1479" spans="10:10" customFormat="1" ht="14.45" customHeight="1">
      <c r="J1479" s="9"/>
    </row>
    <row r="1480" spans="10:10" customFormat="1" ht="14.45" customHeight="1">
      <c r="J1480" s="9"/>
    </row>
    <row r="1481" spans="10:10" customFormat="1" ht="14.45" customHeight="1">
      <c r="J1481" s="9"/>
    </row>
    <row r="1482" spans="10:10" customFormat="1" ht="14.45" customHeight="1">
      <c r="J1482" s="9"/>
    </row>
    <row r="1483" spans="10:10" customFormat="1" ht="14.45" customHeight="1">
      <c r="J1483" s="9"/>
    </row>
    <row r="1484" spans="10:10" customFormat="1" ht="14.45" customHeight="1">
      <c r="J1484" s="9"/>
    </row>
    <row r="1485" spans="10:10" customFormat="1" ht="14.45" customHeight="1">
      <c r="J1485" s="9"/>
    </row>
    <row r="1486" spans="10:10" customFormat="1" ht="14.45" customHeight="1">
      <c r="J1486" s="9"/>
    </row>
    <row r="1487" spans="10:10" customFormat="1" ht="14.45" customHeight="1">
      <c r="J1487" s="9"/>
    </row>
    <row r="1488" spans="10:10" customFormat="1" ht="14.45" customHeight="1">
      <c r="J1488" s="9"/>
    </row>
    <row r="1489" spans="10:10" customFormat="1" ht="14.45" customHeight="1">
      <c r="J1489" s="9"/>
    </row>
    <row r="1490" spans="10:10" customFormat="1" ht="14.45" customHeight="1">
      <c r="J1490" s="9"/>
    </row>
    <row r="1491" spans="10:10" customFormat="1" ht="14.45" customHeight="1">
      <c r="J1491" s="9"/>
    </row>
    <row r="1492" spans="10:10" customFormat="1" ht="14.45" customHeight="1">
      <c r="J1492" s="9"/>
    </row>
    <row r="1493" spans="10:10" customFormat="1" ht="14.45" customHeight="1">
      <c r="J1493" s="9"/>
    </row>
    <row r="1494" spans="10:10" customFormat="1" ht="14.45" customHeight="1">
      <c r="J1494" s="9"/>
    </row>
    <row r="1495" spans="10:10" customFormat="1" ht="14.45" customHeight="1">
      <c r="J1495" s="9"/>
    </row>
    <row r="1496" spans="10:10" customFormat="1" ht="14.45" customHeight="1">
      <c r="J1496" s="9"/>
    </row>
    <row r="1497" spans="10:10" customFormat="1" ht="14.45" customHeight="1">
      <c r="J1497" s="9"/>
    </row>
    <row r="1498" spans="10:10" customFormat="1" ht="14.45" customHeight="1">
      <c r="J1498" s="9"/>
    </row>
    <row r="1499" spans="10:10" customFormat="1" ht="14.45" customHeight="1">
      <c r="J1499" s="9"/>
    </row>
    <row r="1500" spans="10:10" customFormat="1" ht="14.45" customHeight="1">
      <c r="J1500" s="9"/>
    </row>
    <row r="1501" spans="10:10" customFormat="1" ht="14.45" customHeight="1">
      <c r="J1501" s="9"/>
    </row>
    <row r="1502" spans="10:10" customFormat="1" ht="14.45" customHeight="1">
      <c r="J1502" s="9"/>
    </row>
    <row r="1503" spans="10:10" customFormat="1" ht="14.45" customHeight="1">
      <c r="J1503" s="9"/>
    </row>
    <row r="1504" spans="10:10" customFormat="1" ht="14.45" customHeight="1">
      <c r="J1504" s="9"/>
    </row>
    <row r="1505" spans="10:10" customFormat="1" ht="14.45" customHeight="1">
      <c r="J1505" s="9"/>
    </row>
    <row r="1506" spans="10:10" customFormat="1" ht="14.45" customHeight="1">
      <c r="J1506" s="9"/>
    </row>
    <row r="1507" spans="10:10" customFormat="1" ht="14.45" customHeight="1">
      <c r="J1507" s="9"/>
    </row>
    <row r="1508" spans="10:10" customFormat="1" ht="14.45" customHeight="1">
      <c r="J1508" s="9"/>
    </row>
    <row r="1509" spans="10:10" customFormat="1" ht="14.45" customHeight="1">
      <c r="J1509" s="9"/>
    </row>
    <row r="1510" spans="10:10" customFormat="1" ht="14.45" customHeight="1">
      <c r="J1510" s="9"/>
    </row>
    <row r="1511" spans="10:10" customFormat="1" ht="14.45" customHeight="1">
      <c r="J1511" s="9"/>
    </row>
    <row r="1512" spans="10:10" customFormat="1" ht="14.45" customHeight="1">
      <c r="J1512" s="9"/>
    </row>
    <row r="1513" spans="10:10" customFormat="1" ht="14.45" customHeight="1">
      <c r="J1513" s="9"/>
    </row>
    <row r="1514" spans="10:10" customFormat="1" ht="14.45" customHeight="1">
      <c r="J1514" s="9"/>
    </row>
    <row r="1515" spans="10:10" customFormat="1" ht="14.45" customHeight="1">
      <c r="J1515" s="9"/>
    </row>
    <row r="1516" spans="10:10" customFormat="1" ht="14.45" customHeight="1">
      <c r="J1516" s="9"/>
    </row>
    <row r="1517" spans="10:10" customFormat="1" ht="14.45" customHeight="1">
      <c r="J1517" s="9"/>
    </row>
    <row r="1518" spans="10:10" customFormat="1" ht="14.45" customHeight="1">
      <c r="J1518" s="9"/>
    </row>
    <row r="1519" spans="10:10" customFormat="1" ht="14.45" customHeight="1">
      <c r="J1519" s="9"/>
    </row>
    <row r="1520" spans="10:10" customFormat="1" ht="14.45" customHeight="1">
      <c r="J1520" s="9"/>
    </row>
    <row r="1521" spans="10:10" customFormat="1" ht="14.45" customHeight="1">
      <c r="J1521" s="9"/>
    </row>
    <row r="1522" spans="10:10" customFormat="1" ht="14.45" customHeight="1">
      <c r="J1522" s="9"/>
    </row>
    <row r="1523" spans="10:10" customFormat="1" ht="14.45" customHeight="1">
      <c r="J1523" s="9"/>
    </row>
    <row r="1524" spans="10:10" customFormat="1" ht="14.45" customHeight="1">
      <c r="J1524" s="9"/>
    </row>
    <row r="1525" spans="10:10" customFormat="1" ht="14.45" customHeight="1">
      <c r="J1525" s="9"/>
    </row>
    <row r="1526" spans="10:10" customFormat="1" ht="14.45" customHeight="1">
      <c r="J1526" s="9"/>
    </row>
    <row r="1527" spans="10:10" customFormat="1" ht="14.45" customHeight="1">
      <c r="J1527" s="9"/>
    </row>
    <row r="1528" spans="10:10" customFormat="1" ht="14.45" customHeight="1">
      <c r="J1528" s="9"/>
    </row>
    <row r="1529" spans="10:10" customFormat="1" ht="14.45" customHeight="1">
      <c r="J1529" s="9"/>
    </row>
    <row r="1530" spans="10:10" customFormat="1" ht="14.45" customHeight="1">
      <c r="J1530" s="9"/>
    </row>
    <row r="1531" spans="10:10" customFormat="1" ht="14.45" customHeight="1">
      <c r="J1531" s="9"/>
    </row>
    <row r="1532" spans="10:10" customFormat="1" ht="14.45" customHeight="1">
      <c r="J1532" s="9"/>
    </row>
    <row r="1533" spans="10:10" customFormat="1" ht="14.45" customHeight="1">
      <c r="J1533" s="9"/>
    </row>
    <row r="1534" spans="10:10" customFormat="1" ht="14.45" customHeight="1">
      <c r="J1534" s="9"/>
    </row>
    <row r="1535" spans="10:10" customFormat="1" ht="14.45" customHeight="1">
      <c r="J1535" s="9"/>
    </row>
    <row r="1536" spans="10:10" customFormat="1" ht="14.45" customHeight="1">
      <c r="J1536" s="9"/>
    </row>
    <row r="1537" spans="10:10" customFormat="1" ht="14.45" customHeight="1">
      <c r="J1537" s="9"/>
    </row>
    <row r="1538" spans="10:10" customFormat="1" ht="14.45" customHeight="1">
      <c r="J1538" s="9"/>
    </row>
    <row r="1539" spans="10:10" customFormat="1" ht="14.45" customHeight="1">
      <c r="J1539" s="9"/>
    </row>
    <row r="1540" spans="10:10" customFormat="1" ht="14.45" customHeight="1">
      <c r="J1540" s="9"/>
    </row>
    <row r="1541" spans="10:10" customFormat="1" ht="14.45" customHeight="1">
      <c r="J1541" s="9"/>
    </row>
    <row r="1542" spans="10:10" customFormat="1" ht="14.45" customHeight="1">
      <c r="J1542" s="9"/>
    </row>
    <row r="1543" spans="10:10" customFormat="1" ht="14.45" customHeight="1">
      <c r="J1543" s="9"/>
    </row>
    <row r="1544" spans="10:10" customFormat="1" ht="14.45" customHeight="1">
      <c r="J1544" s="9"/>
    </row>
    <row r="1545" spans="10:10" customFormat="1" ht="14.45" customHeight="1">
      <c r="J1545" s="9"/>
    </row>
    <row r="1546" spans="10:10" customFormat="1" ht="14.45" customHeight="1">
      <c r="J1546" s="9"/>
    </row>
    <row r="1547" spans="10:10" customFormat="1" ht="14.45" customHeight="1">
      <c r="J1547" s="9"/>
    </row>
    <row r="1548" spans="10:10" customFormat="1" ht="14.45" customHeight="1">
      <c r="J1548" s="9"/>
    </row>
    <row r="1549" spans="10:10" customFormat="1" ht="14.45" customHeight="1">
      <c r="J1549" s="9"/>
    </row>
    <row r="1550" spans="10:10" customFormat="1" ht="14.45" customHeight="1">
      <c r="J1550" s="9"/>
    </row>
    <row r="1551" spans="10:10" customFormat="1" ht="14.45" customHeight="1">
      <c r="J1551" s="9"/>
    </row>
    <row r="1552" spans="10:10" customFormat="1" ht="14.45" customHeight="1">
      <c r="J1552" s="9"/>
    </row>
    <row r="1553" spans="10:10" customFormat="1" ht="14.45" customHeight="1">
      <c r="J1553" s="9"/>
    </row>
    <row r="1554" spans="10:10" customFormat="1" ht="14.45" customHeight="1">
      <c r="J1554" s="9"/>
    </row>
    <row r="1555" spans="10:10" customFormat="1" ht="14.45" customHeight="1">
      <c r="J1555" s="9"/>
    </row>
    <row r="1556" spans="10:10" customFormat="1" ht="14.45" customHeight="1">
      <c r="J1556" s="9"/>
    </row>
    <row r="1557" spans="10:10" customFormat="1" ht="14.45" customHeight="1">
      <c r="J1557" s="9"/>
    </row>
    <row r="1558" spans="10:10" customFormat="1" ht="14.45" customHeight="1">
      <c r="J1558" s="9"/>
    </row>
    <row r="1559" spans="10:10" customFormat="1" ht="14.45" customHeight="1">
      <c r="J1559" s="9"/>
    </row>
    <row r="1560" spans="10:10" customFormat="1" ht="14.45" customHeight="1">
      <c r="J1560" s="9"/>
    </row>
    <row r="1561" spans="10:10" customFormat="1" ht="14.45" customHeight="1">
      <c r="J1561" s="9"/>
    </row>
    <row r="1562" spans="10:10" customFormat="1" ht="14.45" customHeight="1">
      <c r="J1562" s="9"/>
    </row>
    <row r="1563" spans="10:10" customFormat="1" ht="14.45" customHeight="1">
      <c r="J1563" s="9"/>
    </row>
    <row r="1564" spans="10:10" customFormat="1" ht="14.45" customHeight="1">
      <c r="J1564" s="9"/>
    </row>
    <row r="1565" spans="10:10" customFormat="1" ht="14.45" customHeight="1">
      <c r="J1565" s="9"/>
    </row>
    <row r="1566" spans="10:10" customFormat="1" ht="14.45" customHeight="1">
      <c r="J1566" s="9"/>
    </row>
    <row r="1567" spans="10:10" customFormat="1" ht="14.45" customHeight="1">
      <c r="J1567" s="9"/>
    </row>
    <row r="1568" spans="10:10" customFormat="1" ht="14.45" customHeight="1">
      <c r="J1568" s="9"/>
    </row>
    <row r="1569" spans="10:10" customFormat="1" ht="14.45" customHeight="1">
      <c r="J1569" s="9"/>
    </row>
    <row r="1570" spans="10:10" customFormat="1" ht="14.45" customHeight="1">
      <c r="J1570" s="9"/>
    </row>
    <row r="1571" spans="10:10" customFormat="1" ht="14.45" customHeight="1">
      <c r="J1571" s="9"/>
    </row>
    <row r="1572" spans="10:10" customFormat="1" ht="14.45" customHeight="1">
      <c r="J1572" s="9"/>
    </row>
    <row r="1573" spans="10:10" customFormat="1" ht="14.45" customHeight="1">
      <c r="J1573" s="9"/>
    </row>
    <row r="1574" spans="10:10" customFormat="1" ht="14.45" customHeight="1">
      <c r="J1574" s="9"/>
    </row>
    <row r="1575" spans="10:10" customFormat="1" ht="14.45" customHeight="1">
      <c r="J1575" s="9"/>
    </row>
    <row r="1576" spans="10:10" customFormat="1" ht="14.45" customHeight="1">
      <c r="J1576" s="9"/>
    </row>
    <row r="1577" spans="10:10" customFormat="1" ht="14.45" customHeight="1">
      <c r="J1577" s="9"/>
    </row>
    <row r="1578" spans="10:10" customFormat="1" ht="14.45" customHeight="1">
      <c r="J1578" s="9"/>
    </row>
    <row r="1579" spans="10:10" customFormat="1" ht="14.45" customHeight="1">
      <c r="J1579" s="9"/>
    </row>
    <row r="1580" spans="10:10" customFormat="1" ht="14.45" customHeight="1">
      <c r="J1580" s="9"/>
    </row>
    <row r="1581" spans="10:10" customFormat="1" ht="14.45" customHeight="1">
      <c r="J1581" s="9"/>
    </row>
    <row r="1582" spans="10:10" customFormat="1" ht="14.45" customHeight="1">
      <c r="J1582" s="9"/>
    </row>
    <row r="1583" spans="10:10" customFormat="1" ht="14.45" customHeight="1">
      <c r="J1583" s="9"/>
    </row>
    <row r="1584" spans="10:10" customFormat="1" ht="14.45" customHeight="1">
      <c r="J1584" s="9"/>
    </row>
    <row r="1585" spans="10:10" customFormat="1" ht="14.45" customHeight="1">
      <c r="J1585" s="9"/>
    </row>
    <row r="1586" spans="10:10" customFormat="1" ht="14.45" customHeight="1">
      <c r="J1586" s="9"/>
    </row>
    <row r="1587" spans="10:10" customFormat="1" ht="14.45" customHeight="1">
      <c r="J1587" s="9"/>
    </row>
    <row r="1588" spans="10:10" customFormat="1" ht="14.45" customHeight="1">
      <c r="J1588" s="9"/>
    </row>
    <row r="1589" spans="10:10" customFormat="1" ht="14.45" customHeight="1">
      <c r="J1589" s="9"/>
    </row>
    <row r="1590" spans="10:10" customFormat="1" ht="14.45" customHeight="1">
      <c r="J1590" s="9"/>
    </row>
    <row r="1591" spans="10:10" customFormat="1" ht="14.45" customHeight="1">
      <c r="J1591" s="9"/>
    </row>
    <row r="1592" spans="10:10" customFormat="1" ht="14.45" customHeight="1">
      <c r="J1592" s="9"/>
    </row>
    <row r="1593" spans="10:10" customFormat="1" ht="14.45" customHeight="1">
      <c r="J1593" s="9"/>
    </row>
    <row r="1594" spans="10:10" customFormat="1" ht="14.45" customHeight="1">
      <c r="J1594" s="9"/>
    </row>
    <row r="1595" spans="10:10" customFormat="1" ht="14.45" customHeight="1">
      <c r="J1595" s="9"/>
    </row>
    <row r="1596" spans="10:10" customFormat="1" ht="14.45" customHeight="1">
      <c r="J1596" s="9"/>
    </row>
    <row r="1597" spans="10:10" customFormat="1" ht="14.45" customHeight="1">
      <c r="J1597" s="9"/>
    </row>
    <row r="1598" spans="10:10" customFormat="1" ht="14.45" customHeight="1">
      <c r="J1598" s="9"/>
    </row>
    <row r="1599" spans="10:10" customFormat="1" ht="14.45" customHeight="1">
      <c r="J1599" s="9"/>
    </row>
    <row r="1600" spans="10:10" customFormat="1" ht="14.45" customHeight="1">
      <c r="J1600" s="9"/>
    </row>
    <row r="1601" spans="10:10" customFormat="1" ht="14.45" customHeight="1">
      <c r="J1601" s="9"/>
    </row>
    <row r="1602" spans="10:10" customFormat="1" ht="14.45" customHeight="1">
      <c r="J1602" s="9"/>
    </row>
    <row r="1603" spans="10:10" customFormat="1" ht="14.45" customHeight="1">
      <c r="J1603" s="9"/>
    </row>
    <row r="1604" spans="10:10" customFormat="1" ht="14.45" customHeight="1">
      <c r="J1604" s="9"/>
    </row>
    <row r="1605" spans="10:10" customFormat="1" ht="14.45" customHeight="1">
      <c r="J1605" s="9"/>
    </row>
    <row r="1606" spans="10:10" customFormat="1" ht="14.45" customHeight="1">
      <c r="J1606" s="9"/>
    </row>
    <row r="1607" spans="10:10" customFormat="1" ht="14.45" customHeight="1">
      <c r="J1607" s="9"/>
    </row>
    <row r="1608" spans="10:10" customFormat="1" ht="14.45" customHeight="1">
      <c r="J1608" s="9"/>
    </row>
    <row r="1609" spans="10:10" customFormat="1" ht="14.45" customHeight="1">
      <c r="J1609" s="9"/>
    </row>
    <row r="1610" spans="10:10" customFormat="1" ht="14.45" customHeight="1">
      <c r="J1610" s="9"/>
    </row>
    <row r="1611" spans="10:10" customFormat="1" ht="14.45" customHeight="1">
      <c r="J1611" s="9"/>
    </row>
    <row r="1612" spans="10:10" customFormat="1" ht="14.45" customHeight="1">
      <c r="J1612" s="9"/>
    </row>
    <row r="1613" spans="10:10" customFormat="1" ht="14.45" customHeight="1">
      <c r="J1613" s="9"/>
    </row>
    <row r="1614" spans="10:10" customFormat="1" ht="14.45" customHeight="1">
      <c r="J1614" s="9"/>
    </row>
    <row r="1615" spans="10:10" customFormat="1">
      <c r="J1615" s="9"/>
    </row>
    <row r="1616" spans="10:10" customFormat="1">
      <c r="J1616" s="9"/>
    </row>
    <row r="1617" spans="10:10" customFormat="1">
      <c r="J1617" s="9"/>
    </row>
    <row r="1618" spans="10:10" customFormat="1">
      <c r="J1618" s="9"/>
    </row>
    <row r="1619" spans="10:10" customFormat="1">
      <c r="J1619" s="9"/>
    </row>
    <row r="1620" spans="10:10" customFormat="1">
      <c r="J1620" s="9"/>
    </row>
    <row r="1621" spans="10:10" customFormat="1">
      <c r="J1621" s="9"/>
    </row>
    <row r="1622" spans="10:10" customFormat="1">
      <c r="J1622" s="9"/>
    </row>
    <row r="1623" spans="10:10" customFormat="1">
      <c r="J1623" s="9"/>
    </row>
    <row r="1624" spans="10:10" customFormat="1">
      <c r="J1624" s="9"/>
    </row>
    <row r="1625" spans="10:10" customFormat="1">
      <c r="J1625" s="9"/>
    </row>
    <row r="1626" spans="10:10" customFormat="1">
      <c r="J1626" s="9"/>
    </row>
    <row r="1627" spans="10:10" customFormat="1">
      <c r="J1627" s="9"/>
    </row>
    <row r="1628" spans="10:10" customFormat="1">
      <c r="J1628" s="9"/>
    </row>
    <row r="1629" spans="10:10" customFormat="1">
      <c r="J1629" s="9"/>
    </row>
    <row r="1630" spans="10:10" customFormat="1">
      <c r="J1630" s="9"/>
    </row>
    <row r="1631" spans="10:10" customFormat="1">
      <c r="J1631" s="9"/>
    </row>
    <row r="1632" spans="10:10" customFormat="1">
      <c r="J1632" s="9"/>
    </row>
    <row r="1633" spans="10:10" customFormat="1">
      <c r="J1633" s="9"/>
    </row>
    <row r="1634" spans="10:10" customFormat="1">
      <c r="J1634" s="9"/>
    </row>
    <row r="1635" spans="10:10" customFormat="1">
      <c r="J1635" s="9"/>
    </row>
    <row r="1636" spans="10:10" customFormat="1">
      <c r="J1636" s="9"/>
    </row>
    <row r="1637" spans="10:10" customFormat="1">
      <c r="J1637" s="9"/>
    </row>
    <row r="1638" spans="10:10" customFormat="1">
      <c r="J1638" s="9"/>
    </row>
    <row r="1639" spans="10:10" customFormat="1">
      <c r="J1639" s="9"/>
    </row>
    <row r="1640" spans="10:10" customFormat="1">
      <c r="J1640" s="9"/>
    </row>
    <row r="1641" spans="10:10" customFormat="1">
      <c r="J1641" s="9"/>
    </row>
    <row r="1642" spans="10:10" customFormat="1">
      <c r="J1642" s="9"/>
    </row>
    <row r="1643" spans="10:10" customFormat="1">
      <c r="J1643" s="9"/>
    </row>
    <row r="1644" spans="10:10" customFormat="1">
      <c r="J1644" s="9"/>
    </row>
    <row r="1645" spans="10:10" customFormat="1">
      <c r="J1645" s="9"/>
    </row>
    <row r="1646" spans="10:10" customFormat="1">
      <c r="J1646" s="9"/>
    </row>
    <row r="1647" spans="10:10" customFormat="1">
      <c r="J1647" s="9"/>
    </row>
    <row r="1648" spans="10:10" customFormat="1">
      <c r="J1648" s="9"/>
    </row>
    <row r="1649" spans="10:10" customFormat="1">
      <c r="J1649" s="9"/>
    </row>
    <row r="1650" spans="10:10" customFormat="1">
      <c r="J1650" s="9"/>
    </row>
    <row r="1651" spans="10:10" customFormat="1">
      <c r="J1651" s="9"/>
    </row>
    <row r="1652" spans="10:10" customFormat="1">
      <c r="J1652" s="9"/>
    </row>
    <row r="1653" spans="10:10" customFormat="1">
      <c r="J1653" s="9"/>
    </row>
    <row r="1654" spans="10:10" customFormat="1">
      <c r="J1654" s="9"/>
    </row>
    <row r="1655" spans="10:10" customFormat="1">
      <c r="J1655" s="9"/>
    </row>
    <row r="1656" spans="10:10" customFormat="1">
      <c r="J1656" s="9"/>
    </row>
    <row r="1657" spans="10:10" customFormat="1">
      <c r="J1657" s="9"/>
    </row>
    <row r="1658" spans="10:10" customFormat="1">
      <c r="J1658" s="9"/>
    </row>
    <row r="1659" spans="10:10" customFormat="1">
      <c r="J1659" s="9"/>
    </row>
    <row r="1660" spans="10:10" customFormat="1">
      <c r="J1660" s="9"/>
    </row>
    <row r="1661" spans="10:10" customFormat="1">
      <c r="J1661" s="9"/>
    </row>
    <row r="1662" spans="10:10" customFormat="1">
      <c r="J1662" s="9"/>
    </row>
    <row r="1663" spans="10:10" customFormat="1">
      <c r="J1663" s="9"/>
    </row>
    <row r="1664" spans="10:10" customFormat="1">
      <c r="J1664" s="9"/>
    </row>
    <row r="1665" spans="10:10" customFormat="1">
      <c r="J1665" s="9"/>
    </row>
    <row r="1666" spans="10:10" customFormat="1">
      <c r="J1666" s="9"/>
    </row>
    <row r="1667" spans="10:10" customFormat="1">
      <c r="J1667" s="9"/>
    </row>
    <row r="1668" spans="10:10" customFormat="1">
      <c r="J1668" s="9"/>
    </row>
    <row r="1669" spans="10:10" customFormat="1">
      <c r="J1669" s="9"/>
    </row>
    <row r="1670" spans="10:10" customFormat="1">
      <c r="J1670" s="9"/>
    </row>
    <row r="1671" spans="10:10" customFormat="1">
      <c r="J1671" s="9"/>
    </row>
  </sheetData>
  <sortState xmlns:xlrd2="http://schemas.microsoft.com/office/spreadsheetml/2017/richdata2" ref="A3:A52">
    <sortCondition ref="A3:A52"/>
  </sortState>
  <mergeCells count="9">
    <mergeCell ref="B1:G1"/>
    <mergeCell ref="AP1:AU1"/>
    <mergeCell ref="H1:N1"/>
    <mergeCell ref="AV1:BA1"/>
    <mergeCell ref="BB1:BG1"/>
    <mergeCell ref="O1:U1"/>
    <mergeCell ref="V1:AB1"/>
    <mergeCell ref="AC1:AI1"/>
    <mergeCell ref="AJ1:A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Tser</dc:creator>
  <cp:lastModifiedBy>Jonas Adi Tokoli</cp:lastModifiedBy>
  <dcterms:created xsi:type="dcterms:W3CDTF">2024-09-30T09:38:48Z</dcterms:created>
  <dcterms:modified xsi:type="dcterms:W3CDTF">2025-12-18T11:12:57Z</dcterms:modified>
  <cp:contentStatus/>
</cp:coreProperties>
</file>